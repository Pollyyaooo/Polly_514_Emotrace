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yaoyitong/Documents/Pollyyaooo-Polly_514_Final/Battery/"/>
    </mc:Choice>
  </mc:AlternateContent>
  <xr:revisionPtr revIDLastSave="0" documentId="13_ncr:1_{41761711-6400-6840-9EB2-8239C2B36151}" xr6:coauthVersionLast="47" xr6:coauthVersionMax="47" xr10:uidLastSave="{00000000-0000-0000-0000-000000000000}"/>
  <bookViews>
    <workbookView xWindow="0" yWindow="780" windowWidth="34200" windowHeight="19680" xr2:uid="{00000000-000D-0000-FFFF-FFFF00000000}"/>
  </bookViews>
  <sheets>
    <sheet name="System Parameters" sheetId="1" r:id="rId1"/>
    <sheet name="Sensitivity Analysi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18" i="2" l="1"/>
  <c r="U118" i="2"/>
  <c r="T118" i="2"/>
  <c r="S118" i="2"/>
  <c r="R118" i="2"/>
  <c r="Q118" i="2"/>
  <c r="P118" i="2"/>
  <c r="O118" i="2"/>
  <c r="D118" i="2"/>
  <c r="C118" i="2"/>
  <c r="B118" i="2"/>
  <c r="A118" i="2"/>
  <c r="V117" i="2"/>
  <c r="U117" i="2"/>
  <c r="T117" i="2"/>
  <c r="S117" i="2"/>
  <c r="R117" i="2"/>
  <c r="Q117" i="2"/>
  <c r="P117" i="2"/>
  <c r="O117" i="2"/>
  <c r="D117" i="2"/>
  <c r="C117" i="2"/>
  <c r="B117" i="2"/>
  <c r="A117" i="2"/>
  <c r="V116" i="2"/>
  <c r="U116" i="2"/>
  <c r="T116" i="2"/>
  <c r="S116" i="2"/>
  <c r="R116" i="2"/>
  <c r="Q116" i="2"/>
  <c r="P116" i="2"/>
  <c r="O116" i="2"/>
  <c r="D116" i="2"/>
  <c r="C116" i="2"/>
  <c r="B116" i="2"/>
  <c r="A116" i="2"/>
  <c r="V115" i="2"/>
  <c r="U115" i="2"/>
  <c r="T115" i="2"/>
  <c r="S115" i="2"/>
  <c r="R115" i="2"/>
  <c r="Q115" i="2"/>
  <c r="P115" i="2"/>
  <c r="O115" i="2"/>
  <c r="D115" i="2"/>
  <c r="C115" i="2"/>
  <c r="B115" i="2"/>
  <c r="A115" i="2"/>
  <c r="V114" i="2"/>
  <c r="U114" i="2"/>
  <c r="T114" i="2"/>
  <c r="S114" i="2"/>
  <c r="R114" i="2"/>
  <c r="Q114" i="2"/>
  <c r="P114" i="2"/>
  <c r="O114" i="2"/>
  <c r="D114" i="2"/>
  <c r="C114" i="2"/>
  <c r="B114" i="2"/>
  <c r="A114" i="2"/>
  <c r="V113" i="2"/>
  <c r="U113" i="2"/>
  <c r="T113" i="2"/>
  <c r="S113" i="2"/>
  <c r="R113" i="2"/>
  <c r="Q113" i="2"/>
  <c r="P113" i="2"/>
  <c r="O113" i="2"/>
  <c r="D113" i="2"/>
  <c r="C113" i="2"/>
  <c r="B113" i="2"/>
  <c r="A113" i="2"/>
  <c r="V112" i="2"/>
  <c r="U112" i="2"/>
  <c r="T112" i="2"/>
  <c r="S112" i="2"/>
  <c r="R112" i="2"/>
  <c r="Q112" i="2"/>
  <c r="P112" i="2"/>
  <c r="O112" i="2"/>
  <c r="D112" i="2"/>
  <c r="C112" i="2"/>
  <c r="B112" i="2"/>
  <c r="A112" i="2"/>
  <c r="V111" i="2"/>
  <c r="U111" i="2"/>
  <c r="T111" i="2"/>
  <c r="S111" i="2"/>
  <c r="R111" i="2"/>
  <c r="Q111" i="2"/>
  <c r="P111" i="2"/>
  <c r="O111" i="2"/>
  <c r="D111" i="2"/>
  <c r="C111" i="2"/>
  <c r="B111" i="2"/>
  <c r="A111" i="2"/>
  <c r="V110" i="2"/>
  <c r="U110" i="2"/>
  <c r="T110" i="2"/>
  <c r="S110" i="2"/>
  <c r="R110" i="2"/>
  <c r="Q110" i="2"/>
  <c r="P110" i="2"/>
  <c r="O110" i="2"/>
  <c r="D110" i="2"/>
  <c r="C110" i="2"/>
  <c r="B110" i="2"/>
  <c r="A110" i="2"/>
  <c r="V109" i="2"/>
  <c r="U109" i="2"/>
  <c r="T109" i="2"/>
  <c r="S109" i="2"/>
  <c r="R109" i="2"/>
  <c r="Q109" i="2"/>
  <c r="P109" i="2"/>
  <c r="O109" i="2"/>
  <c r="D109" i="2"/>
  <c r="C109" i="2"/>
  <c r="B109" i="2"/>
  <c r="A109" i="2"/>
  <c r="V108" i="2"/>
  <c r="U108" i="2"/>
  <c r="T108" i="2"/>
  <c r="S108" i="2"/>
  <c r="R108" i="2"/>
  <c r="Q108" i="2"/>
  <c r="P108" i="2"/>
  <c r="O108" i="2"/>
  <c r="D108" i="2"/>
  <c r="C108" i="2"/>
  <c r="B108" i="2"/>
  <c r="A108" i="2"/>
  <c r="V107" i="2"/>
  <c r="U107" i="2"/>
  <c r="T107" i="2"/>
  <c r="S107" i="2"/>
  <c r="R107" i="2"/>
  <c r="Q107" i="2"/>
  <c r="P107" i="2"/>
  <c r="O107" i="2"/>
  <c r="D107" i="2"/>
  <c r="C107" i="2"/>
  <c r="B107" i="2"/>
  <c r="A107" i="2"/>
  <c r="V106" i="2"/>
  <c r="U106" i="2"/>
  <c r="T106" i="2"/>
  <c r="S106" i="2"/>
  <c r="R106" i="2"/>
  <c r="Q106" i="2"/>
  <c r="P106" i="2"/>
  <c r="O106" i="2"/>
  <c r="D106" i="2"/>
  <c r="C106" i="2"/>
  <c r="B106" i="2"/>
  <c r="A106" i="2"/>
  <c r="V105" i="2"/>
  <c r="U105" i="2"/>
  <c r="T105" i="2"/>
  <c r="S105" i="2"/>
  <c r="R105" i="2"/>
  <c r="Q105" i="2"/>
  <c r="P105" i="2"/>
  <c r="O105" i="2"/>
  <c r="D105" i="2"/>
  <c r="C105" i="2"/>
  <c r="B105" i="2"/>
  <c r="A105" i="2"/>
  <c r="V104" i="2"/>
  <c r="U104" i="2"/>
  <c r="T104" i="2"/>
  <c r="S104" i="2"/>
  <c r="R104" i="2"/>
  <c r="Q104" i="2"/>
  <c r="P104" i="2"/>
  <c r="O104" i="2"/>
  <c r="D104" i="2"/>
  <c r="C104" i="2"/>
  <c r="B104" i="2"/>
  <c r="A104" i="2"/>
  <c r="V103" i="2"/>
  <c r="U103" i="2"/>
  <c r="T103" i="2"/>
  <c r="S103" i="2"/>
  <c r="R103" i="2"/>
  <c r="Q103" i="2"/>
  <c r="P103" i="2"/>
  <c r="O103" i="2"/>
  <c r="D103" i="2"/>
  <c r="C103" i="2"/>
  <c r="B103" i="2"/>
  <c r="A103" i="2"/>
  <c r="V102" i="2"/>
  <c r="U102" i="2"/>
  <c r="T102" i="2"/>
  <c r="S102" i="2"/>
  <c r="R102" i="2"/>
  <c r="Q102" i="2"/>
  <c r="P102" i="2"/>
  <c r="O102" i="2"/>
  <c r="D102" i="2"/>
  <c r="C102" i="2"/>
  <c r="B102" i="2"/>
  <c r="A102" i="2"/>
  <c r="V101" i="2"/>
  <c r="U101" i="2"/>
  <c r="T101" i="2"/>
  <c r="S101" i="2"/>
  <c r="R101" i="2"/>
  <c r="Q101" i="2"/>
  <c r="P101" i="2"/>
  <c r="O101" i="2"/>
  <c r="D101" i="2"/>
  <c r="C101" i="2"/>
  <c r="B101" i="2"/>
  <c r="A101" i="2"/>
  <c r="V100" i="2"/>
  <c r="U100" i="2"/>
  <c r="T100" i="2"/>
  <c r="S100" i="2"/>
  <c r="R100" i="2"/>
  <c r="Q100" i="2"/>
  <c r="P100" i="2"/>
  <c r="O100" i="2"/>
  <c r="D100" i="2"/>
  <c r="C100" i="2"/>
  <c r="B100" i="2"/>
  <c r="A100" i="2"/>
  <c r="V99" i="2"/>
  <c r="U99" i="2"/>
  <c r="T99" i="2"/>
  <c r="S99" i="2"/>
  <c r="R99" i="2"/>
  <c r="Q99" i="2"/>
  <c r="P99" i="2"/>
  <c r="C99" i="2"/>
  <c r="B99" i="2"/>
  <c r="V98" i="2"/>
  <c r="U98" i="2"/>
  <c r="T98" i="2"/>
  <c r="S98" i="2"/>
  <c r="R98" i="2"/>
  <c r="Q98" i="2"/>
  <c r="P98" i="2"/>
  <c r="C98" i="2"/>
  <c r="B98" i="2"/>
  <c r="V97" i="2"/>
  <c r="U97" i="2"/>
  <c r="T97" i="2"/>
  <c r="S97" i="2"/>
  <c r="R97" i="2"/>
  <c r="Q97" i="2"/>
  <c r="P97" i="2"/>
  <c r="O97" i="2"/>
  <c r="D97" i="2"/>
  <c r="C97" i="2"/>
  <c r="B97" i="2"/>
  <c r="A97" i="2"/>
  <c r="V96" i="2"/>
  <c r="U96" i="2"/>
  <c r="T96" i="2"/>
  <c r="S96" i="2"/>
  <c r="R96" i="2"/>
  <c r="Q96" i="2"/>
  <c r="P96" i="2"/>
  <c r="C96" i="2"/>
  <c r="A96" i="2"/>
  <c r="V95" i="2"/>
  <c r="U95" i="2"/>
  <c r="T95" i="2"/>
  <c r="S95" i="2"/>
  <c r="R95" i="2"/>
  <c r="Q95" i="2"/>
  <c r="P95" i="2"/>
  <c r="C95" i="2"/>
  <c r="A95" i="2"/>
  <c r="V94" i="2"/>
  <c r="U94" i="2"/>
  <c r="T94" i="2"/>
  <c r="S94" i="2"/>
  <c r="R94" i="2"/>
  <c r="Q94" i="2"/>
  <c r="P94" i="2"/>
  <c r="O94" i="2"/>
  <c r="N94" i="2"/>
  <c r="M94" i="2"/>
  <c r="L94" i="2"/>
  <c r="K94" i="2"/>
  <c r="J94" i="2"/>
  <c r="I94" i="2"/>
  <c r="H94" i="2"/>
  <c r="G94" i="2"/>
  <c r="F94" i="2"/>
  <c r="E94" i="2"/>
  <c r="D94" i="2"/>
  <c r="C94" i="2"/>
  <c r="B94" i="2"/>
  <c r="A94" i="2"/>
  <c r="V93" i="2"/>
  <c r="U93" i="2"/>
  <c r="T93" i="2"/>
  <c r="S93" i="2"/>
  <c r="R93" i="2"/>
  <c r="Q93" i="2"/>
  <c r="P93" i="2"/>
  <c r="C93" i="2"/>
  <c r="A93" i="2"/>
  <c r="V92" i="2"/>
  <c r="U92" i="2"/>
  <c r="T92" i="2"/>
  <c r="S92" i="2"/>
  <c r="R92" i="2"/>
  <c r="Q92" i="2"/>
  <c r="P92" i="2"/>
  <c r="O92" i="2"/>
  <c r="N92" i="2"/>
  <c r="M92" i="2"/>
  <c r="L92" i="2"/>
  <c r="K92" i="2"/>
  <c r="J92" i="2"/>
  <c r="I92" i="2"/>
  <c r="H92" i="2"/>
  <c r="G92" i="2"/>
  <c r="F92" i="2"/>
  <c r="E92" i="2"/>
  <c r="D92" i="2"/>
  <c r="C92" i="2"/>
  <c r="B92" i="2"/>
  <c r="A92" i="2"/>
  <c r="V91" i="2"/>
  <c r="U91" i="2"/>
  <c r="T91" i="2"/>
  <c r="S91" i="2"/>
  <c r="R91" i="2"/>
  <c r="O91" i="2"/>
  <c r="N91" i="2"/>
  <c r="M91" i="2"/>
  <c r="L91" i="2"/>
  <c r="K91" i="2"/>
  <c r="J91" i="2"/>
  <c r="I91" i="2"/>
  <c r="H91" i="2"/>
  <c r="G91" i="2"/>
  <c r="F91" i="2"/>
  <c r="E91" i="2"/>
  <c r="D91" i="2"/>
  <c r="C91" i="2"/>
  <c r="B91" i="2"/>
  <c r="A91" i="2"/>
  <c r="V90" i="2"/>
  <c r="U90" i="2"/>
  <c r="T90" i="2"/>
  <c r="S90" i="2"/>
  <c r="R90" i="2"/>
  <c r="C90" i="2"/>
  <c r="V89" i="2"/>
  <c r="U89" i="2"/>
  <c r="T89" i="2"/>
  <c r="S89" i="2"/>
  <c r="R89" i="2"/>
  <c r="C89" i="2"/>
  <c r="V88" i="2"/>
  <c r="U88" i="2"/>
  <c r="T88" i="2"/>
  <c r="S88" i="2"/>
  <c r="R88" i="2"/>
  <c r="C88" i="2"/>
  <c r="V87" i="2"/>
  <c r="U87" i="2"/>
  <c r="T87" i="2"/>
  <c r="S87" i="2"/>
  <c r="R87" i="2"/>
  <c r="C87" i="2"/>
  <c r="B87" i="2"/>
  <c r="A87" i="2"/>
  <c r="V86" i="2"/>
  <c r="U86" i="2"/>
  <c r="T86" i="2"/>
  <c r="S86" i="2"/>
  <c r="R86" i="2"/>
  <c r="Q86" i="2"/>
  <c r="P86" i="2"/>
  <c r="O86" i="2"/>
  <c r="D86" i="2"/>
  <c r="C86" i="2"/>
  <c r="B86" i="2"/>
  <c r="A86" i="2"/>
  <c r="V85" i="2"/>
  <c r="U85" i="2"/>
  <c r="T85" i="2"/>
  <c r="S85" i="2"/>
  <c r="R85" i="2"/>
  <c r="Q85" i="2"/>
  <c r="P85" i="2"/>
  <c r="O85" i="2"/>
  <c r="D85" i="2"/>
  <c r="C85" i="2"/>
  <c r="B85" i="2"/>
  <c r="A85" i="2"/>
  <c r="V84" i="2"/>
  <c r="U84" i="2"/>
  <c r="T84" i="2"/>
  <c r="S84" i="2"/>
  <c r="R84" i="2"/>
  <c r="Q84" i="2"/>
  <c r="P84" i="2"/>
  <c r="O84" i="2"/>
  <c r="D84" i="2"/>
  <c r="C84" i="2"/>
  <c r="B84" i="2"/>
  <c r="A84" i="2"/>
  <c r="V83" i="2"/>
  <c r="U83" i="2"/>
  <c r="T83" i="2"/>
  <c r="S83" i="2"/>
  <c r="R83" i="2"/>
  <c r="Q83" i="2"/>
  <c r="P83" i="2"/>
  <c r="O83" i="2"/>
  <c r="D83" i="2"/>
  <c r="C83" i="2"/>
  <c r="B83" i="2"/>
  <c r="A83" i="2"/>
  <c r="W82" i="2"/>
  <c r="V82" i="2"/>
  <c r="U82" i="2"/>
  <c r="T82" i="2"/>
  <c r="D82" i="2"/>
  <c r="C82" i="2"/>
  <c r="B82" i="2"/>
  <c r="A82" i="2"/>
  <c r="W81" i="2"/>
  <c r="V81" i="2"/>
  <c r="U81" i="2"/>
  <c r="T81" i="2"/>
  <c r="D81" i="2"/>
  <c r="C81" i="2"/>
  <c r="B81" i="2"/>
  <c r="A81" i="2"/>
  <c r="W80" i="2"/>
  <c r="V80" i="2"/>
  <c r="U80" i="2"/>
  <c r="T80" i="2"/>
  <c r="D80" i="2"/>
  <c r="C80" i="2"/>
  <c r="B80" i="2"/>
  <c r="B93" i="2" s="1"/>
  <c r="A80" i="2"/>
  <c r="W79" i="2"/>
  <c r="V79" i="2"/>
  <c r="U79" i="2"/>
  <c r="T79" i="2"/>
  <c r="D79" i="2"/>
  <c r="C79" i="2"/>
  <c r="B79" i="2"/>
  <c r="A79" i="2"/>
  <c r="W78" i="2"/>
  <c r="V78" i="2"/>
  <c r="U78" i="2"/>
  <c r="T78" i="2"/>
  <c r="D78" i="2"/>
  <c r="C78" i="2"/>
  <c r="B78" i="2"/>
  <c r="A78" i="2"/>
  <c r="W77" i="2"/>
  <c r="V77" i="2"/>
  <c r="U77" i="2"/>
  <c r="T77" i="2"/>
  <c r="D77" i="2"/>
  <c r="C77" i="2"/>
  <c r="B77" i="2"/>
  <c r="A77" i="2"/>
  <c r="W76" i="2"/>
  <c r="V76" i="2"/>
  <c r="U76" i="2"/>
  <c r="T76" i="2"/>
  <c r="C76" i="2"/>
  <c r="B76" i="2"/>
  <c r="A76" i="2"/>
  <c r="W75" i="2"/>
  <c r="V75" i="2"/>
  <c r="U75" i="2"/>
  <c r="T75" i="2"/>
  <c r="C75" i="2"/>
  <c r="B75" i="2"/>
  <c r="A75" i="2"/>
  <c r="W74" i="2"/>
  <c r="V74" i="2"/>
  <c r="U74" i="2"/>
  <c r="T74" i="2"/>
  <c r="C74" i="2"/>
  <c r="B74" i="2"/>
  <c r="A74" i="2"/>
  <c r="W73" i="2"/>
  <c r="V73" i="2"/>
  <c r="U73" i="2"/>
  <c r="T73" i="2"/>
  <c r="C73" i="2"/>
  <c r="B73" i="2"/>
  <c r="A73" i="2"/>
  <c r="W72" i="2"/>
  <c r="V72" i="2"/>
  <c r="U72" i="2"/>
  <c r="T72" i="2"/>
  <c r="C72" i="2"/>
  <c r="B72" i="2"/>
  <c r="A72" i="2"/>
  <c r="W71" i="2"/>
  <c r="V71" i="2"/>
  <c r="U71" i="2"/>
  <c r="T71" i="2"/>
  <c r="C71" i="2"/>
  <c r="B71" i="2"/>
  <c r="A71" i="2"/>
  <c r="W70" i="2"/>
  <c r="V70" i="2"/>
  <c r="U70" i="2"/>
  <c r="T70" i="2"/>
  <c r="C70" i="2"/>
  <c r="B70" i="2"/>
  <c r="A70" i="2"/>
  <c r="W69" i="2"/>
  <c r="V69" i="2"/>
  <c r="U69" i="2"/>
  <c r="T69" i="2"/>
  <c r="C69" i="2"/>
  <c r="B69" i="2"/>
  <c r="A69" i="2"/>
  <c r="W68" i="2"/>
  <c r="V68" i="2"/>
  <c r="U68" i="2"/>
  <c r="T68" i="2"/>
  <c r="C68" i="2"/>
  <c r="B68" i="2"/>
  <c r="A68" i="2"/>
  <c r="W67" i="2"/>
  <c r="V67" i="2"/>
  <c r="U67" i="2"/>
  <c r="T67" i="2"/>
  <c r="C67" i="2"/>
  <c r="B67" i="2"/>
  <c r="A67" i="2"/>
  <c r="W66" i="2"/>
  <c r="V66" i="2"/>
  <c r="U66" i="2"/>
  <c r="T66" i="2"/>
  <c r="C66" i="2"/>
  <c r="B66" i="2"/>
  <c r="A66" i="2"/>
  <c r="W65" i="2"/>
  <c r="V65" i="2"/>
  <c r="U65" i="2"/>
  <c r="T65" i="2"/>
  <c r="C65" i="2"/>
  <c r="B65" i="2"/>
  <c r="A65" i="2"/>
  <c r="W64" i="2"/>
  <c r="V64" i="2"/>
  <c r="U64" i="2"/>
  <c r="T64" i="2"/>
  <c r="C64" i="2"/>
  <c r="B64" i="2"/>
  <c r="A64" i="2"/>
  <c r="W63" i="2"/>
  <c r="V63" i="2"/>
  <c r="U63" i="2"/>
  <c r="T63" i="2"/>
  <c r="C63" i="2"/>
  <c r="B63" i="2"/>
  <c r="A63" i="2"/>
  <c r="W62" i="2"/>
  <c r="V62" i="2"/>
  <c r="U62" i="2"/>
  <c r="T62" i="2"/>
  <c r="C62" i="2"/>
  <c r="B62" i="2"/>
  <c r="A62" i="2"/>
  <c r="W61" i="2"/>
  <c r="V61" i="2"/>
  <c r="U61" i="2"/>
  <c r="T61" i="2"/>
  <c r="C61" i="2"/>
  <c r="B61" i="2"/>
  <c r="A61" i="2"/>
  <c r="W60" i="2"/>
  <c r="V60" i="2"/>
  <c r="U60" i="2"/>
  <c r="T60" i="2"/>
  <c r="C60" i="2"/>
  <c r="B60" i="2"/>
  <c r="A60" i="2"/>
  <c r="W59" i="2"/>
  <c r="V59" i="2"/>
  <c r="U59" i="2"/>
  <c r="T59" i="2"/>
  <c r="C59" i="2"/>
  <c r="B59" i="2"/>
  <c r="A59" i="2"/>
  <c r="W58" i="2"/>
  <c r="V58" i="2"/>
  <c r="U58" i="2"/>
  <c r="T58" i="2"/>
  <c r="C58" i="2"/>
  <c r="B58" i="2"/>
  <c r="A58" i="2"/>
  <c r="W57" i="2"/>
  <c r="V57" i="2"/>
  <c r="U57" i="2"/>
  <c r="T57" i="2"/>
  <c r="C57" i="2"/>
  <c r="B57" i="2"/>
  <c r="A57" i="2"/>
  <c r="W56" i="2"/>
  <c r="V56" i="2"/>
  <c r="U56" i="2"/>
  <c r="T56" i="2"/>
  <c r="C56" i="2"/>
  <c r="B56" i="2"/>
  <c r="A56" i="2"/>
  <c r="W55" i="2"/>
  <c r="V55" i="2"/>
  <c r="U55" i="2"/>
  <c r="T55" i="2"/>
  <c r="D55" i="2"/>
  <c r="C55" i="2"/>
  <c r="B55" i="2"/>
  <c r="A55" i="2"/>
  <c r="W54" i="2"/>
  <c r="V54" i="2"/>
  <c r="U54" i="2"/>
  <c r="T54" i="2"/>
  <c r="D54" i="2"/>
  <c r="C54" i="2"/>
  <c r="B54" i="2"/>
  <c r="A54" i="2"/>
  <c r="W53" i="2"/>
  <c r="V53" i="2"/>
  <c r="U53" i="2"/>
  <c r="T53" i="2"/>
  <c r="D53" i="2"/>
  <c r="C53" i="2"/>
  <c r="B53" i="2"/>
  <c r="A53" i="2"/>
  <c r="W52" i="2"/>
  <c r="V52" i="2"/>
  <c r="U52" i="2"/>
  <c r="T52" i="2"/>
  <c r="D52" i="2"/>
  <c r="C52" i="2"/>
  <c r="B52" i="2"/>
  <c r="A52" i="2"/>
  <c r="M31" i="1"/>
  <c r="M28" i="1"/>
  <c r="L28" i="1"/>
  <c r="A90" i="2" s="1"/>
  <c r="M27" i="1"/>
  <c r="L27" i="1"/>
  <c r="A89" i="2" s="1"/>
  <c r="M26" i="1"/>
  <c r="L26" i="1"/>
  <c r="A88" i="2" s="1"/>
  <c r="O28" i="1" l="1"/>
  <c r="O26" i="1"/>
  <c r="O27" i="1"/>
  <c r="M33" i="1"/>
  <c r="M34" i="1" s="1"/>
  <c r="O56" i="2"/>
  <c r="N56" i="2"/>
  <c r="M56" i="2"/>
  <c r="L56" i="2"/>
  <c r="K56" i="2"/>
  <c r="J56" i="2"/>
  <c r="I56" i="2"/>
  <c r="H56" i="2"/>
  <c r="G56" i="2"/>
  <c r="F56" i="2"/>
  <c r="E56" i="2"/>
  <c r="D56" i="2"/>
  <c r="O57" i="2"/>
  <c r="N57" i="2"/>
  <c r="M57" i="2"/>
  <c r="L57" i="2"/>
  <c r="K57" i="2"/>
  <c r="J57" i="2"/>
  <c r="I57" i="2"/>
  <c r="H57" i="2"/>
  <c r="G57" i="2"/>
  <c r="F57" i="2"/>
  <c r="E57" i="2"/>
  <c r="D57" i="2"/>
  <c r="O58" i="2"/>
  <c r="N58" i="2"/>
  <c r="M58" i="2"/>
  <c r="L58" i="2"/>
  <c r="K58" i="2"/>
  <c r="J58" i="2"/>
  <c r="I58" i="2"/>
  <c r="H58" i="2"/>
  <c r="G58" i="2"/>
  <c r="F58" i="2"/>
  <c r="E58" i="2"/>
  <c r="D58" i="2"/>
  <c r="O59" i="2"/>
  <c r="N59" i="2"/>
  <c r="M59" i="2"/>
  <c r="L59" i="2"/>
  <c r="K59" i="2"/>
  <c r="J59" i="2"/>
  <c r="I59" i="2"/>
  <c r="H59" i="2"/>
  <c r="G59" i="2"/>
  <c r="F59" i="2"/>
  <c r="E59" i="2"/>
  <c r="D59" i="2"/>
  <c r="O60" i="2"/>
  <c r="N60" i="2"/>
  <c r="M60" i="2"/>
  <c r="L60" i="2"/>
  <c r="K60" i="2"/>
  <c r="J60" i="2"/>
  <c r="I60" i="2"/>
  <c r="H60" i="2"/>
  <c r="G60" i="2"/>
  <c r="F60" i="2"/>
  <c r="E60" i="2"/>
  <c r="D60" i="2"/>
  <c r="O61" i="2"/>
  <c r="N61" i="2"/>
  <c r="M61" i="2"/>
  <c r="L61" i="2"/>
  <c r="K61" i="2"/>
  <c r="J61" i="2"/>
  <c r="I61" i="2"/>
  <c r="H61" i="2"/>
  <c r="G61" i="2"/>
  <c r="F61" i="2"/>
  <c r="E61" i="2"/>
  <c r="D61" i="2"/>
  <c r="O62" i="2"/>
  <c r="N62" i="2"/>
  <c r="M62" i="2"/>
  <c r="L62" i="2"/>
  <c r="K62" i="2"/>
  <c r="J62" i="2"/>
  <c r="I62" i="2"/>
  <c r="H62" i="2"/>
  <c r="G62" i="2"/>
  <c r="F62" i="2"/>
  <c r="E62" i="2"/>
  <c r="D62" i="2"/>
  <c r="O63" i="2"/>
  <c r="N63" i="2"/>
  <c r="M63" i="2"/>
  <c r="L63" i="2"/>
  <c r="K63" i="2"/>
  <c r="J63" i="2"/>
  <c r="I63" i="2"/>
  <c r="H63" i="2"/>
  <c r="G63" i="2"/>
  <c r="F63" i="2"/>
  <c r="E63" i="2"/>
  <c r="D63" i="2"/>
  <c r="O64" i="2"/>
  <c r="N64" i="2"/>
  <c r="M64" i="2"/>
  <c r="L64" i="2"/>
  <c r="K64" i="2"/>
  <c r="J64" i="2"/>
  <c r="I64" i="2"/>
  <c r="H64" i="2"/>
  <c r="G64" i="2"/>
  <c r="F64" i="2"/>
  <c r="E64" i="2"/>
  <c r="D64" i="2"/>
  <c r="O65" i="2"/>
  <c r="N65" i="2"/>
  <c r="M65" i="2"/>
  <c r="L65" i="2"/>
  <c r="K65" i="2"/>
  <c r="J65" i="2"/>
  <c r="I65" i="2"/>
  <c r="H65" i="2"/>
  <c r="G65" i="2"/>
  <c r="F65" i="2"/>
  <c r="E65" i="2"/>
  <c r="D65" i="2"/>
  <c r="O66" i="2"/>
  <c r="N66" i="2"/>
  <c r="M66" i="2"/>
  <c r="L66" i="2"/>
  <c r="K66" i="2"/>
  <c r="J66" i="2"/>
  <c r="I66" i="2"/>
  <c r="H66" i="2"/>
  <c r="G66" i="2"/>
  <c r="F66" i="2"/>
  <c r="E66" i="2"/>
  <c r="D66" i="2"/>
  <c r="O67" i="2"/>
  <c r="N67" i="2"/>
  <c r="M67" i="2"/>
  <c r="L67" i="2"/>
  <c r="K67" i="2"/>
  <c r="J67" i="2"/>
  <c r="I67" i="2"/>
  <c r="H67" i="2"/>
  <c r="G67" i="2"/>
  <c r="F67" i="2"/>
  <c r="E67" i="2"/>
  <c r="D67" i="2"/>
  <c r="O68" i="2"/>
  <c r="N68" i="2"/>
  <c r="M68" i="2"/>
  <c r="L68" i="2"/>
  <c r="K68" i="2"/>
  <c r="J68" i="2"/>
  <c r="I68" i="2"/>
  <c r="H68" i="2"/>
  <c r="G68" i="2"/>
  <c r="F68" i="2"/>
  <c r="E68" i="2"/>
  <c r="D68" i="2"/>
  <c r="O69" i="2"/>
  <c r="N69" i="2"/>
  <c r="M69" i="2"/>
  <c r="L69" i="2"/>
  <c r="K69" i="2"/>
  <c r="J69" i="2"/>
  <c r="I69" i="2"/>
  <c r="H69" i="2"/>
  <c r="G69" i="2"/>
  <c r="F69" i="2"/>
  <c r="E69" i="2"/>
  <c r="D69" i="2"/>
  <c r="O70" i="2"/>
  <c r="N70" i="2"/>
  <c r="M70" i="2"/>
  <c r="L70" i="2"/>
  <c r="K70" i="2"/>
  <c r="J70" i="2"/>
  <c r="I70" i="2"/>
  <c r="H70" i="2"/>
  <c r="G70" i="2"/>
  <c r="F70" i="2"/>
  <c r="E70" i="2"/>
  <c r="D70" i="2"/>
  <c r="O71" i="2"/>
  <c r="N71" i="2"/>
  <c r="M71" i="2"/>
  <c r="L71" i="2"/>
  <c r="K71" i="2"/>
  <c r="J71" i="2"/>
  <c r="I71" i="2"/>
  <c r="H71" i="2"/>
  <c r="G71" i="2"/>
  <c r="F71" i="2"/>
  <c r="E71" i="2"/>
  <c r="D71" i="2"/>
  <c r="O72" i="2"/>
  <c r="N72" i="2"/>
  <c r="M72" i="2"/>
  <c r="L72" i="2"/>
  <c r="K72" i="2"/>
  <c r="J72" i="2"/>
  <c r="I72" i="2"/>
  <c r="H72" i="2"/>
  <c r="G72" i="2"/>
  <c r="F72" i="2"/>
  <c r="E72" i="2"/>
  <c r="D72" i="2"/>
  <c r="O73" i="2"/>
  <c r="N73" i="2"/>
  <c r="M73" i="2"/>
  <c r="L73" i="2"/>
  <c r="K73" i="2"/>
  <c r="J73" i="2"/>
  <c r="I73" i="2"/>
  <c r="H73" i="2"/>
  <c r="G73" i="2"/>
  <c r="F73" i="2"/>
  <c r="E73" i="2"/>
  <c r="D73" i="2"/>
  <c r="O74" i="2"/>
  <c r="N74" i="2"/>
  <c r="M74" i="2"/>
  <c r="L74" i="2"/>
  <c r="K74" i="2"/>
  <c r="J74" i="2"/>
  <c r="I74" i="2"/>
  <c r="H74" i="2"/>
  <c r="G74" i="2"/>
  <c r="F74" i="2"/>
  <c r="E74" i="2"/>
  <c r="D74" i="2"/>
  <c r="O75" i="2"/>
  <c r="N75" i="2"/>
  <c r="M75" i="2"/>
  <c r="L75" i="2"/>
  <c r="K75" i="2"/>
  <c r="J75" i="2"/>
  <c r="I75" i="2"/>
  <c r="H75" i="2"/>
  <c r="G75" i="2"/>
  <c r="F75" i="2"/>
  <c r="E75" i="2"/>
  <c r="D75" i="2"/>
  <c r="O76" i="2"/>
  <c r="N76" i="2"/>
  <c r="M76" i="2"/>
  <c r="L76" i="2"/>
  <c r="K76" i="2"/>
  <c r="J76" i="2"/>
  <c r="I76" i="2"/>
  <c r="H76" i="2"/>
  <c r="G76" i="2"/>
  <c r="F76" i="2"/>
  <c r="E76" i="2"/>
  <c r="D76" i="2"/>
  <c r="O93" i="2"/>
  <c r="N93" i="2"/>
  <c r="M93" i="2"/>
  <c r="L93" i="2"/>
  <c r="K93" i="2"/>
  <c r="J93" i="2"/>
  <c r="I93" i="2"/>
  <c r="H93" i="2"/>
  <c r="G93" i="2"/>
  <c r="F93" i="2"/>
  <c r="E93" i="2"/>
  <c r="D93" i="2"/>
  <c r="O90" i="2"/>
  <c r="N90" i="2"/>
  <c r="M90" i="2"/>
  <c r="L90" i="2"/>
  <c r="K90" i="2"/>
  <c r="J90" i="2"/>
  <c r="I90" i="2"/>
  <c r="H90" i="2"/>
  <c r="G90" i="2"/>
  <c r="F90" i="2"/>
  <c r="E90" i="2"/>
  <c r="D90" i="2"/>
  <c r="B90" i="2"/>
  <c r="O89" i="2"/>
  <c r="N89" i="2"/>
  <c r="M89" i="2"/>
  <c r="L89" i="2"/>
  <c r="K89" i="2"/>
  <c r="J89" i="2"/>
  <c r="I89" i="2"/>
  <c r="H89" i="2"/>
  <c r="G89" i="2"/>
  <c r="F89" i="2"/>
  <c r="E89" i="2"/>
  <c r="D89" i="2"/>
  <c r="B89" i="2"/>
  <c r="O88" i="2"/>
  <c r="N88" i="2"/>
  <c r="M88" i="2"/>
  <c r="L88" i="2"/>
  <c r="K88" i="2"/>
  <c r="J88" i="2"/>
  <c r="I88" i="2"/>
  <c r="H88" i="2"/>
  <c r="G88" i="2"/>
  <c r="F88" i="2"/>
  <c r="E88" i="2"/>
  <c r="D88" i="2"/>
  <c r="B88" i="2"/>
  <c r="B95" i="2"/>
  <c r="B96" i="2" s="1"/>
  <c r="O95" i="2"/>
  <c r="O96" i="2" s="1"/>
  <c r="N95" i="2"/>
  <c r="N96" i="2" s="1"/>
  <c r="M95" i="2"/>
  <c r="M96" i="2"/>
  <c r="L95" i="2"/>
  <c r="L96" i="2" s="1"/>
  <c r="K95" i="2"/>
  <c r="K96" i="2" s="1"/>
  <c r="J95" i="2"/>
  <c r="J96" i="2" s="1"/>
  <c r="I95" i="2"/>
  <c r="I96" i="2" s="1"/>
  <c r="H95" i="2"/>
  <c r="H96" i="2" s="1"/>
  <c r="H98" i="2" s="1"/>
  <c r="G95" i="2"/>
  <c r="G96" i="2" s="1"/>
  <c r="F95" i="2"/>
  <c r="F96" i="2" s="1"/>
  <c r="E95" i="2"/>
  <c r="E96" i="2" s="1"/>
  <c r="D95" i="2"/>
  <c r="D96" i="2" s="1"/>
  <c r="M98" i="2" l="1"/>
  <c r="I98" i="2"/>
  <c r="F98" i="2"/>
  <c r="G98" i="2"/>
  <c r="J98" i="2"/>
  <c r="O98" i="2"/>
  <c r="D98" i="2"/>
  <c r="L98" i="2"/>
  <c r="E98" i="2"/>
  <c r="K98" i="2"/>
  <c r="N98" i="2"/>
</calcChain>
</file>

<file path=xl/sharedStrings.xml><?xml version="1.0" encoding="utf-8"?>
<sst xmlns="http://schemas.openxmlformats.org/spreadsheetml/2006/main" count="80" uniqueCount="60">
  <si>
    <t>System Parameters (defined by hardware)</t>
  </si>
  <si>
    <t>Profiles (usage of each component mode - defined by software and usage)</t>
  </si>
  <si>
    <t>form the datasheets</t>
  </si>
  <si>
    <t>"off"</t>
  </si>
  <si>
    <t>"sensing"</t>
  </si>
  <si>
    <t>"interactive"</t>
  </si>
  <si>
    <t>Processor</t>
  </si>
  <si>
    <t>Active</t>
  </si>
  <si>
    <t>mW</t>
  </si>
  <si>
    <t>Idle</t>
  </si>
  <si>
    <t>Sleep</t>
  </si>
  <si>
    <t>LED</t>
  </si>
  <si>
    <t>On</t>
  </si>
  <si>
    <t>Sensor</t>
  </si>
  <si>
    <t>Off</t>
  </si>
  <si>
    <t>Display</t>
  </si>
  <si>
    <t>Off (leakage)</t>
  </si>
  <si>
    <t>Radio</t>
  </si>
  <si>
    <t>Data Rate</t>
  </si>
  <si>
    <t>bps</t>
  </si>
  <si>
    <t>Total power in profile (mw)</t>
  </si>
  <si>
    <t xml:space="preserve">Maximum Time </t>
  </si>
  <si>
    <t>Standby Power</t>
  </si>
  <si>
    <t>hours</t>
  </si>
  <si>
    <t>TX Power</t>
  </si>
  <si>
    <t>RX Power</t>
  </si>
  <si>
    <t>hours/day typical usage</t>
  </si>
  <si>
    <t>Effective Battery Capacity</t>
  </si>
  <si>
    <t>Battery</t>
  </si>
  <si>
    <t>mW*h</t>
  </si>
  <si>
    <t>Capacity</t>
  </si>
  <si>
    <t>mAh</t>
  </si>
  <si>
    <t>Nominal Voltage</t>
  </si>
  <si>
    <t>V</t>
  </si>
  <si>
    <t>Days of Use</t>
  </si>
  <si>
    <t>days</t>
  </si>
  <si>
    <t>Regulator Efficiency</t>
  </si>
  <si>
    <t>Hours of Use</t>
  </si>
  <si>
    <t xml:space="preserve">REFLECTIONS : WHAT DID YOU LEARN FROM ANALYZING YOUR POWER.  TALK ABOUT SOME POTENTIAL TRADEOFFS. </t>
  </si>
  <si>
    <t>How did you determine your “days of use” metric?</t>
  </si>
  <si>
    <t>Days of use were estimated based on a daily usage model of 20 hours in deep sleep, 3 hours in sensing mode, and 1 hour in interactive mode. Component power values from datasheets and duty cycles were used to calculate total daily energy consumption and battery life.</t>
  </si>
  <si>
    <t>What do you think is the optimum battery size for your device?</t>
  </si>
  <si>
    <t>A 500 mAh LiPo provides about 4 days of operation, which balances battery life with device size and weight. Larger batteries would increase bulk, while smaller ones would require frequent charging.</t>
  </si>
  <si>
    <t>What hardware/software/cost/effort tradeoffs could you make to improve the user experience?</t>
  </si>
  <si>
    <t>Battery life is mainly limited by BLE standby and processor idle power. Software optimizations such as longer sleep intervals or reduced BLE activity could extend lifetime with minimal cost, while larger batteries or lower-power hardware would improve performance but increase size, cost, or design complexity.</t>
  </si>
  <si>
    <t>Linked Data from First Page DO NOT EDIT</t>
  </si>
  <si>
    <t>% change</t>
  </si>
  <si>
    <t>Parameter Name</t>
  </si>
  <si>
    <t>ProcessorActive</t>
  </si>
  <si>
    <t>ProcessorIdle</t>
  </si>
  <si>
    <t>ProcessorOff</t>
  </si>
  <si>
    <t>LEDOn</t>
  </si>
  <si>
    <t>SensorOn</t>
  </si>
  <si>
    <t>SensorIdle</t>
  </si>
  <si>
    <t>SensorOff</t>
  </si>
  <si>
    <t>DisplayOn</t>
  </si>
  <si>
    <t>DisplayOff</t>
  </si>
  <si>
    <t>RadioStandby</t>
  </si>
  <si>
    <t>RadioTX</t>
  </si>
  <si>
    <t>RadioRX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</si>
</sst>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7" x14ac:knownFonts="1">
    <font>
      <sz val="10"/>
      <color rgb="FF000000"/>
      <name val="Arial"/>
      <scheme val="minor"/>
    </font>
    <font>
      <sz val="10"/>
      <color theme="1"/>
      <name val="Arial"/>
      <family val="2"/>
      <scheme val="minor"/>
    </font>
    <font>
      <b/>
      <sz val="10"/>
      <color theme="1"/>
      <name val="Arial"/>
      <family val="2"/>
      <scheme val="minor"/>
    </font>
    <font>
      <sz val="11"/>
      <color theme="1"/>
      <name val="Arial"/>
      <family val="2"/>
      <scheme val="minor"/>
    </font>
    <font>
      <u/>
      <sz val="10"/>
      <color theme="10"/>
      <name val="Arial"/>
      <family val="2"/>
      <scheme val="minor"/>
    </font>
    <font>
      <b/>
      <sz val="10"/>
      <color rgb="FF000000"/>
      <name val="Arial"/>
      <family val="2"/>
      <scheme val="minor"/>
    </font>
    <font>
      <sz val="9"/>
      <name val="Arial"/>
      <family val="3"/>
      <charset val="134"/>
      <scheme val="minor"/>
    </font>
  </fonts>
  <fills count="6">
    <fill>
      <patternFill patternType="none"/>
    </fill>
    <fill>
      <patternFill patternType="gray125"/>
    </fill>
    <fill>
      <patternFill patternType="solid">
        <fgColor rgb="FFFFF2CC"/>
        <bgColor rgb="FFFFF2CC"/>
      </patternFill>
    </fill>
    <fill>
      <patternFill patternType="solid">
        <fgColor rgb="FFD9EAD3"/>
        <bgColor rgb="FFD9EAD3"/>
      </patternFill>
    </fill>
    <fill>
      <patternFill patternType="solid">
        <fgColor rgb="FFB6D7A8"/>
        <bgColor rgb="FFB6D7A8"/>
      </patternFill>
    </fill>
    <fill>
      <patternFill patternType="solid">
        <fgColor theme="0" tint="-0.14999847407452621"/>
        <bgColor indexed="64"/>
      </patternFill>
    </fill>
  </fills>
  <borders count="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2">
    <xf numFmtId="0" fontId="0" fillId="0" borderId="0"/>
    <xf numFmtId="0" fontId="4" fillId="0" borderId="0" applyNumberFormat="0" applyFill="0" applyBorder="0" applyAlignment="0" applyProtection="0"/>
  </cellStyleXfs>
  <cellXfs count="27">
    <xf numFmtId="0" fontId="0" fillId="0" borderId="0" xfId="0"/>
    <xf numFmtId="0" fontId="1" fillId="0" borderId="1" xfId="0" applyFont="1" applyBorder="1"/>
    <xf numFmtId="0" fontId="1" fillId="0" borderId="2" xfId="0" applyFont="1" applyBorder="1"/>
    <xf numFmtId="0" fontId="1" fillId="0" borderId="3" xfId="0" applyFont="1" applyBorder="1"/>
    <xf numFmtId="0" fontId="2" fillId="0" borderId="4" xfId="0" applyFont="1" applyBorder="1"/>
    <xf numFmtId="0" fontId="2" fillId="0" borderId="0" xfId="0" applyFont="1"/>
    <xf numFmtId="0" fontId="1" fillId="0" borderId="5" xfId="0" applyFont="1" applyBorder="1"/>
    <xf numFmtId="0" fontId="1" fillId="0" borderId="4" xfId="0" applyFont="1" applyBorder="1"/>
    <xf numFmtId="0" fontId="3" fillId="0" borderId="0" xfId="0" applyFont="1"/>
    <xf numFmtId="0" fontId="1" fillId="0" borderId="0" xfId="0" applyFont="1"/>
    <xf numFmtId="9" fontId="1" fillId="2" borderId="0" xfId="0" applyNumberFormat="1" applyFont="1" applyFill="1"/>
    <xf numFmtId="9" fontId="3" fillId="2" borderId="0" xfId="0" applyNumberFormat="1" applyFont="1" applyFill="1"/>
    <xf numFmtId="1" fontId="1" fillId="2" borderId="0" xfId="0" applyNumberFormat="1" applyFont="1" applyFill="1"/>
    <xf numFmtId="1" fontId="1" fillId="0" borderId="0" xfId="0" applyNumberFormat="1" applyFont="1"/>
    <xf numFmtId="0" fontId="1" fillId="2" borderId="0" xfId="0" applyFont="1" applyFill="1"/>
    <xf numFmtId="0" fontId="1" fillId="3" borderId="0" xfId="0" applyFont="1" applyFill="1"/>
    <xf numFmtId="176" fontId="1" fillId="3" borderId="0" xfId="0" applyNumberFormat="1" applyFont="1" applyFill="1"/>
    <xf numFmtId="0" fontId="2" fillId="4" borderId="0" xfId="0" applyFont="1" applyFill="1"/>
    <xf numFmtId="2" fontId="2" fillId="4" borderId="0" xfId="0" applyNumberFormat="1" applyFont="1" applyFill="1"/>
    <xf numFmtId="0" fontId="1" fillId="0" borderId="6" xfId="0" applyFont="1" applyBorder="1"/>
    <xf numFmtId="0" fontId="1" fillId="0" borderId="7" xfId="0" applyFont="1" applyBorder="1"/>
    <xf numFmtId="0" fontId="1" fillId="0" borderId="8" xfId="0" applyFont="1" applyBorder="1"/>
    <xf numFmtId="9" fontId="1" fillId="0" borderId="0" xfId="0" applyNumberFormat="1" applyFont="1"/>
    <xf numFmtId="10" fontId="1" fillId="0" borderId="0" xfId="0" applyNumberFormat="1" applyFont="1"/>
    <xf numFmtId="1" fontId="1" fillId="5" borderId="0" xfId="0" applyNumberFormat="1" applyFont="1" applyFill="1"/>
    <xf numFmtId="0" fontId="4" fillId="0" borderId="4" xfId="1" applyBorder="1"/>
    <xf numFmtId="0" fontId="5" fillId="0" borderId="0" xfId="0" applyFont="1"/>
  </cellXfs>
  <cellStyles count="2">
    <cellStyle name="Hyperlink" xfId="1" xr:uid="{00000000-000B-0000-0000-000008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2"/>
  <c:chart>
    <c:title>
      <c:tx>
        <c:rich>
          <a:bodyPr/>
          <a:lstStyle/>
          <a:p>
            <a:pPr lvl="0">
              <a:defRPr b="0">
                <a:solidFill>
                  <a:srgbClr val="757575"/>
                </a:solidFill>
                <a:latin typeface="+mn-lt"/>
              </a:defRPr>
            </a:pPr>
            <a:r>
              <a:rPr lang="en-US" b="0">
                <a:solidFill>
                  <a:srgbClr val="757575"/>
                </a:solidFill>
                <a:latin typeface="+mn-lt"/>
              </a:rPr>
              <a:t>Sensitivity Analysis</a:t>
            </a:r>
          </a:p>
        </c:rich>
      </c:tx>
      <c:overlay val="0"/>
    </c:title>
    <c:autoTitleDeleted val="0"/>
    <c:plotArea>
      <c:layout/>
      <c:barChart>
        <c:barDir val="col"/>
        <c:grouping val="clustered"/>
        <c:varyColors val="1"/>
        <c:ser>
          <c:idx val="0"/>
          <c:order val="0"/>
          <c:invertIfNegative val="1"/>
          <c:cat>
            <c:strRef>
              <c:f>'Sensitivity Analysis'!$D$99:$O$99</c:f>
              <c:strCache>
                <c:ptCount val="12"/>
                <c:pt idx="0">
                  <c:v>ProcessorActive</c:v>
                </c:pt>
                <c:pt idx="1">
                  <c:v>ProcessorIdle</c:v>
                </c:pt>
                <c:pt idx="2">
                  <c:v>ProcessorOff</c:v>
                </c:pt>
                <c:pt idx="3">
                  <c:v>LEDOn</c:v>
                </c:pt>
                <c:pt idx="4">
                  <c:v>SensorOn</c:v>
                </c:pt>
                <c:pt idx="5">
                  <c:v>SensorIdle</c:v>
                </c:pt>
                <c:pt idx="6">
                  <c:v>SensorOff</c:v>
                </c:pt>
                <c:pt idx="7">
                  <c:v>DisplayOn</c:v>
                </c:pt>
                <c:pt idx="8">
                  <c:v>DisplayOff</c:v>
                </c:pt>
                <c:pt idx="9">
                  <c:v>RadioStandby</c:v>
                </c:pt>
                <c:pt idx="10">
                  <c:v>RadioTX</c:v>
                </c:pt>
                <c:pt idx="11">
                  <c:v>RadioRX</c:v>
                </c:pt>
              </c:strCache>
            </c:strRef>
          </c:cat>
          <c:val>
            <c:numRef>
              <c:f>'Sensitivity Analysis'!$D$98:$O$98</c:f>
              <c:numCache>
                <c:formatCode>0.00%</c:formatCode>
                <c:ptCount val="12"/>
                <c:pt idx="0">
                  <c:v>2.9238328375402967E-2</c:v>
                </c:pt>
                <c:pt idx="1">
                  <c:v>3.0801086186762472E-2</c:v>
                </c:pt>
                <c:pt idx="2">
                  <c:v>7.4216571239937856E-4</c:v>
                </c:pt>
                <c:pt idx="3">
                  <c:v>0</c:v>
                </c:pt>
                <c:pt idx="4">
                  <c:v>6.0420056712466863E-3</c:v>
                </c:pt>
                <c:pt idx="5">
                  <c:v>0</c:v>
                </c:pt>
                <c:pt idx="6">
                  <c:v>0</c:v>
                </c:pt>
                <c:pt idx="7">
                  <c:v>0</c:v>
                </c:pt>
                <c:pt idx="8">
                  <c:v>0</c:v>
                </c:pt>
                <c:pt idx="9">
                  <c:v>3.4553120103252954E-2</c:v>
                </c:pt>
                <c:pt idx="10">
                  <c:v>1.0201920602641579E-3</c:v>
                </c:pt>
                <c:pt idx="11">
                  <c:v>5.4627271299523272E-4</c:v>
                </c:pt>
              </c:numCache>
            </c:numRef>
          </c:val>
          <c:extLst>
            <c:ext xmlns:c16="http://schemas.microsoft.com/office/drawing/2014/chart" uri="{C3380CC4-5D6E-409C-BE32-E72D297353CC}">
              <c16:uniqueId val="{00000000-86E7-4B40-A890-A4603894E244}"/>
            </c:ext>
          </c:extLst>
        </c:ser>
        <c:dLbls>
          <c:showLegendKey val="0"/>
          <c:showVal val="0"/>
          <c:showCatName val="0"/>
          <c:showSerName val="0"/>
          <c:showPercent val="0"/>
          <c:showBubbleSize val="0"/>
        </c:dLbls>
        <c:gapWidth val="150"/>
        <c:axId val="1164540363"/>
        <c:axId val="1570688690"/>
      </c:barChart>
      <c:catAx>
        <c:axId val="1164540363"/>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570688690"/>
        <c:crosses val="autoZero"/>
        <c:auto val="1"/>
        <c:lblAlgn val="ctr"/>
        <c:lblOffset val="100"/>
        <c:noMultiLvlLbl val="1"/>
      </c:catAx>
      <c:valAx>
        <c:axId val="1570688690"/>
        <c:scaling>
          <c:orientation val="minMax"/>
        </c:scaling>
        <c:delete val="0"/>
        <c:axPos val="l"/>
        <c:numFmt formatCode="0.00%" sourceLinked="1"/>
        <c:majorTickMark val="cross"/>
        <c:minorTickMark val="cross"/>
        <c:tickLblPos val="nextTo"/>
        <c:spPr>
          <a:ln>
            <a:noFill/>
          </a:ln>
        </c:spPr>
        <c:crossAx val="1164540363"/>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2"/>
  <c:chart>
    <c:title>
      <c:tx>
        <c:rich>
          <a:bodyPr/>
          <a:lstStyle/>
          <a:p>
            <a:pPr lvl="0">
              <a:defRPr b="0">
                <a:solidFill>
                  <a:srgbClr val="757575"/>
                </a:solidFill>
                <a:latin typeface="+mn-lt"/>
              </a:defRPr>
            </a:pPr>
            <a:r>
              <a:rPr b="0">
                <a:solidFill>
                  <a:srgbClr val="757575"/>
                </a:solidFill>
                <a:latin typeface="+mn-lt"/>
              </a:rPr>
              <a:t>Sensitivity Analysis</a:t>
            </a:r>
          </a:p>
        </c:rich>
      </c:tx>
      <c:overlay val="0"/>
    </c:title>
    <c:autoTitleDeleted val="0"/>
    <c:plotArea>
      <c:layout/>
      <c:barChart>
        <c:barDir val="col"/>
        <c:grouping val="clustered"/>
        <c:varyColors val="1"/>
        <c:ser>
          <c:idx val="0"/>
          <c:order val="0"/>
          <c:invertIfNegative val="1"/>
          <c:cat>
            <c:strRef>
              <c:f>'Sensitivity Analysis'!$D$99:$O$99</c:f>
              <c:strCache>
                <c:ptCount val="12"/>
                <c:pt idx="0">
                  <c:v>ProcessorActive</c:v>
                </c:pt>
                <c:pt idx="1">
                  <c:v>ProcessorIdle</c:v>
                </c:pt>
                <c:pt idx="2">
                  <c:v>ProcessorOff</c:v>
                </c:pt>
                <c:pt idx="3">
                  <c:v>LEDOn</c:v>
                </c:pt>
                <c:pt idx="4">
                  <c:v>SensorOn</c:v>
                </c:pt>
                <c:pt idx="5">
                  <c:v>SensorIdle</c:v>
                </c:pt>
                <c:pt idx="6">
                  <c:v>SensorOff</c:v>
                </c:pt>
                <c:pt idx="7">
                  <c:v>DisplayOn</c:v>
                </c:pt>
                <c:pt idx="8">
                  <c:v>DisplayOff</c:v>
                </c:pt>
                <c:pt idx="9">
                  <c:v>RadioStandby</c:v>
                </c:pt>
                <c:pt idx="10">
                  <c:v>RadioTX</c:v>
                </c:pt>
                <c:pt idx="11">
                  <c:v>RadioRX</c:v>
                </c:pt>
              </c:strCache>
            </c:strRef>
          </c:cat>
          <c:val>
            <c:numRef>
              <c:f>'Sensitivity Analysis'!$D$98:$O$98</c:f>
              <c:numCache>
                <c:formatCode>0.00%</c:formatCode>
                <c:ptCount val="12"/>
                <c:pt idx="0">
                  <c:v>2.9238328375402967E-2</c:v>
                </c:pt>
                <c:pt idx="1">
                  <c:v>3.0801086186762472E-2</c:v>
                </c:pt>
                <c:pt idx="2">
                  <c:v>7.4216571239937856E-4</c:v>
                </c:pt>
                <c:pt idx="3">
                  <c:v>0</c:v>
                </c:pt>
                <c:pt idx="4">
                  <c:v>6.0420056712466863E-3</c:v>
                </c:pt>
                <c:pt idx="5">
                  <c:v>0</c:v>
                </c:pt>
                <c:pt idx="6">
                  <c:v>0</c:v>
                </c:pt>
                <c:pt idx="7">
                  <c:v>0</c:v>
                </c:pt>
                <c:pt idx="8">
                  <c:v>0</c:v>
                </c:pt>
                <c:pt idx="9">
                  <c:v>3.4553120103252954E-2</c:v>
                </c:pt>
                <c:pt idx="10">
                  <c:v>1.0201920602641579E-3</c:v>
                </c:pt>
                <c:pt idx="11">
                  <c:v>5.4627271299523272E-4</c:v>
                </c:pt>
              </c:numCache>
            </c:numRef>
          </c:val>
          <c:extLst>
            <c:ext xmlns:c16="http://schemas.microsoft.com/office/drawing/2014/chart" uri="{C3380CC4-5D6E-409C-BE32-E72D297353CC}">
              <c16:uniqueId val="{00000000-B3E1-4620-B9AD-0AF33FD3388C}"/>
            </c:ext>
          </c:extLst>
        </c:ser>
        <c:dLbls>
          <c:showLegendKey val="0"/>
          <c:showVal val="0"/>
          <c:showCatName val="0"/>
          <c:showSerName val="0"/>
          <c:showPercent val="0"/>
          <c:showBubbleSize val="0"/>
        </c:dLbls>
        <c:gapWidth val="150"/>
        <c:axId val="1376582904"/>
        <c:axId val="538456485"/>
      </c:barChart>
      <c:catAx>
        <c:axId val="1376582904"/>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538456485"/>
        <c:crosses val="autoZero"/>
        <c:auto val="1"/>
        <c:lblAlgn val="ctr"/>
        <c:lblOffset val="100"/>
        <c:noMultiLvlLbl val="1"/>
      </c:catAx>
      <c:valAx>
        <c:axId val="538456485"/>
        <c:scaling>
          <c:orientation val="minMax"/>
        </c:scaling>
        <c:delete val="0"/>
        <c:axPos val="l"/>
        <c:numFmt formatCode="0.00%" sourceLinked="1"/>
        <c:majorTickMark val="cross"/>
        <c:minorTickMark val="cross"/>
        <c:tickLblPos val="nextTo"/>
        <c:spPr>
          <a:ln>
            <a:noFill/>
          </a:ln>
        </c:spPr>
        <c:crossAx val="1376582904"/>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10</xdr:col>
      <xdr:colOff>0</xdr:colOff>
      <xdr:row>0</xdr:row>
      <xdr:rowOff>180976</xdr:rowOff>
    </xdr:from>
    <xdr:ext cx="6743700" cy="3456404"/>
    <xdr:graphicFrame macro="">
      <xdr:nvGraphicFramePr>
        <xdr:cNvPr id="2" name="Chart 1" titl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12</xdr:col>
      <xdr:colOff>361950</xdr:colOff>
      <xdr:row>7</xdr:row>
      <xdr:rowOff>95250</xdr:rowOff>
    </xdr:from>
    <xdr:ext cx="3086100" cy="6381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3723525" y="2928400"/>
          <a:ext cx="3064200" cy="6156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t>If component changes by 10%...</a:t>
          </a:r>
          <a:endParaRPr sz="1400"/>
        </a:p>
        <a:p>
          <a:pPr marL="0" lvl="0" indent="0" algn="l" rtl="0">
            <a:spcBef>
              <a:spcPts val="0"/>
            </a:spcBef>
            <a:spcAft>
              <a:spcPts val="0"/>
            </a:spcAft>
            <a:buNone/>
          </a:pPr>
          <a:r>
            <a:rPr lang="en-US" sz="1400"/>
            <a:t>  “Days of use” changes by x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657225</xdr:colOff>
      <xdr:row>2</xdr:row>
      <xdr:rowOff>171450</xdr:rowOff>
    </xdr:from>
    <xdr:ext cx="6743700" cy="4171950"/>
    <xdr:graphicFrame macro="">
      <xdr:nvGraphicFramePr>
        <xdr:cNvPr id="2" name="Chart 2" titl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561975</xdr:colOff>
      <xdr:row>9</xdr:row>
      <xdr:rowOff>47625</xdr:rowOff>
    </xdr:from>
    <xdr:ext cx="3371850" cy="847725"/>
    <xdr:sp macro="" textlink="">
      <xdr:nvSpPr>
        <xdr:cNvPr id="4" name="Shape 4">
          <a:extLst>
            <a:ext uri="{FF2B5EF4-FFF2-40B4-BE49-F238E27FC236}">
              <a16:creationId xmlns:a16="http://schemas.microsoft.com/office/drawing/2014/main" id="{00000000-0008-0000-0100-000004000000}"/>
            </a:ext>
          </a:extLst>
        </xdr:cNvPr>
        <xdr:cNvSpPr txBox="1"/>
      </xdr:nvSpPr>
      <xdr:spPr>
        <a:xfrm>
          <a:off x="3355075" y="2317525"/>
          <a:ext cx="3355200" cy="8313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t>If component changes by 10%</a:t>
          </a:r>
          <a:endParaRPr sz="1400"/>
        </a:p>
        <a:p>
          <a:pPr marL="0" lvl="0" indent="0" algn="l" rtl="0">
            <a:spcBef>
              <a:spcPts val="0"/>
            </a:spcBef>
            <a:spcAft>
              <a:spcPts val="0"/>
            </a:spcAft>
            <a:buNone/>
          </a:pPr>
          <a:r>
            <a:rPr lang="en-US" sz="1400"/>
            <a:t>… “hours” of use changes by x%</a:t>
          </a:r>
          <a:endParaRPr sz="1400"/>
        </a:p>
        <a:p>
          <a:pPr marL="0" lvl="0" indent="0" algn="l" rtl="0">
            <a:spcBef>
              <a:spcPts val="0"/>
            </a:spcBef>
            <a:spcAft>
              <a:spcPts val="0"/>
            </a:spcAft>
            <a:buNone/>
          </a:pPr>
          <a:endParaRPr sz="1400"/>
        </a:p>
      </xdr:txBody>
    </xdr:sp>
    <xdr:clientData fLocksWithSheet="0"/>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mouser.com/catalog/specsheets/Seeed_101020052.pdf?srsltid=AfmBOoq1ENis4ukCd-QqUWjFPYHPRlJ7lXTYqrDRRCVthGveymkxJQ3k" TargetMode="External"/><Relationship Id="rId1" Type="http://schemas.openxmlformats.org/officeDocument/2006/relationships/hyperlink" Target="https://files.seeedstudio.com/wiki/XIAO_WiFi/Resources/esp32-c3_datasheet.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2:Q44"/>
  <sheetViews>
    <sheetView tabSelected="1" zoomScale="125" workbookViewId="0">
      <selection activeCell="B32" sqref="B32"/>
    </sheetView>
  </sheetViews>
  <sheetFormatPr baseColWidth="10" defaultColWidth="12.5" defaultRowHeight="15.75" customHeight="1" x14ac:dyDescent="0.15"/>
  <cols>
    <col min="1" max="1" width="18" customWidth="1"/>
    <col min="5" max="5" width="12.6640625" customWidth="1"/>
  </cols>
  <sheetData>
    <row r="2" spans="1:9" ht="13" x14ac:dyDescent="0.15">
      <c r="A2" s="1"/>
      <c r="B2" s="2"/>
      <c r="C2" s="2"/>
      <c r="D2" s="2"/>
      <c r="E2" s="2"/>
      <c r="F2" s="2"/>
      <c r="G2" s="2"/>
      <c r="H2" s="2"/>
      <c r="I2" s="3"/>
    </row>
    <row r="3" spans="1:9" ht="13" x14ac:dyDescent="0.15">
      <c r="A3" s="4" t="s">
        <v>0</v>
      </c>
      <c r="E3" s="5" t="s">
        <v>1</v>
      </c>
      <c r="I3" s="6"/>
    </row>
    <row r="4" spans="1:9" ht="14" x14ac:dyDescent="0.15">
      <c r="A4" s="7"/>
      <c r="B4" s="8" t="s">
        <v>2</v>
      </c>
      <c r="I4" s="6"/>
    </row>
    <row r="5" spans="1:9" ht="13" x14ac:dyDescent="0.15">
      <c r="A5" s="7"/>
      <c r="E5" s="9" t="s">
        <v>3</v>
      </c>
      <c r="F5" s="9" t="s">
        <v>4</v>
      </c>
      <c r="G5" s="9" t="s">
        <v>5</v>
      </c>
      <c r="I5" s="6"/>
    </row>
    <row r="6" spans="1:9" ht="13" x14ac:dyDescent="0.15">
      <c r="A6" s="25" t="s">
        <v>6</v>
      </c>
      <c r="I6" s="6"/>
    </row>
    <row r="7" spans="1:9" ht="14" x14ac:dyDescent="0.15">
      <c r="A7" s="7" t="s">
        <v>7</v>
      </c>
      <c r="B7" s="12">
        <v>277.5</v>
      </c>
      <c r="C7" s="9" t="s">
        <v>8</v>
      </c>
      <c r="E7" s="10">
        <v>0</v>
      </c>
      <c r="F7" s="11">
        <v>0.05</v>
      </c>
      <c r="G7" s="10">
        <v>0.3</v>
      </c>
      <c r="I7" s="6"/>
    </row>
    <row r="8" spans="1:9" ht="14" x14ac:dyDescent="0.15">
      <c r="A8" s="7" t="s">
        <v>9</v>
      </c>
      <c r="B8" s="12">
        <v>37</v>
      </c>
      <c r="C8" s="9" t="s">
        <v>8</v>
      </c>
      <c r="E8" s="10">
        <v>0</v>
      </c>
      <c r="F8" s="11">
        <v>0.95</v>
      </c>
      <c r="G8" s="10">
        <v>0.7</v>
      </c>
      <c r="I8" s="6"/>
    </row>
    <row r="9" spans="1:9" ht="13" x14ac:dyDescent="0.15">
      <c r="A9" s="7" t="s">
        <v>10</v>
      </c>
      <c r="B9" s="12">
        <v>0.16300000000000001</v>
      </c>
      <c r="C9" s="9" t="s">
        <v>8</v>
      </c>
      <c r="E9" s="10">
        <v>1</v>
      </c>
      <c r="F9" s="10">
        <v>0</v>
      </c>
      <c r="G9" s="10">
        <v>0</v>
      </c>
      <c r="I9" s="6"/>
    </row>
    <row r="10" spans="1:9" ht="13" x14ac:dyDescent="0.15">
      <c r="A10" s="7"/>
      <c r="I10" s="6"/>
    </row>
    <row r="11" spans="1:9" ht="13" x14ac:dyDescent="0.15">
      <c r="A11" s="4" t="s">
        <v>11</v>
      </c>
      <c r="I11" s="6"/>
    </row>
    <row r="12" spans="1:9" ht="13" x14ac:dyDescent="0.15">
      <c r="A12" s="7" t="s">
        <v>12</v>
      </c>
      <c r="B12" s="24">
        <v>0</v>
      </c>
      <c r="C12" s="9" t="s">
        <v>8</v>
      </c>
      <c r="E12" s="10">
        <v>0</v>
      </c>
      <c r="F12" s="10">
        <v>0</v>
      </c>
      <c r="G12" s="10">
        <v>0</v>
      </c>
      <c r="I12" s="6"/>
    </row>
    <row r="13" spans="1:9" ht="13" x14ac:dyDescent="0.15">
      <c r="A13" s="7"/>
      <c r="B13" s="13"/>
      <c r="I13" s="6"/>
    </row>
    <row r="14" spans="1:9" ht="13" x14ac:dyDescent="0.15">
      <c r="A14" s="7"/>
      <c r="B14" s="13"/>
      <c r="I14" s="6"/>
    </row>
    <row r="15" spans="1:9" ht="13" x14ac:dyDescent="0.15">
      <c r="A15" s="25" t="s">
        <v>13</v>
      </c>
      <c r="B15" s="13"/>
      <c r="I15" s="6"/>
    </row>
    <row r="16" spans="1:9" ht="13" x14ac:dyDescent="0.15">
      <c r="A16" s="7" t="s">
        <v>12</v>
      </c>
      <c r="B16" s="12">
        <v>6.6</v>
      </c>
      <c r="C16" s="9" t="s">
        <v>8</v>
      </c>
      <c r="E16" s="10">
        <v>0</v>
      </c>
      <c r="F16" s="10">
        <v>1</v>
      </c>
      <c r="G16" s="10">
        <v>1</v>
      </c>
      <c r="I16" s="6"/>
    </row>
    <row r="17" spans="1:17" ht="13" x14ac:dyDescent="0.15">
      <c r="A17" s="7" t="s">
        <v>9</v>
      </c>
      <c r="B17" s="12">
        <v>3.3</v>
      </c>
      <c r="C17" s="9" t="s">
        <v>8</v>
      </c>
      <c r="E17" s="10">
        <v>0</v>
      </c>
      <c r="F17" s="10">
        <v>0</v>
      </c>
      <c r="G17" s="10">
        <v>0</v>
      </c>
      <c r="I17" s="6"/>
    </row>
    <row r="18" spans="1:17" ht="13" x14ac:dyDescent="0.15">
      <c r="A18" s="7" t="s">
        <v>14</v>
      </c>
      <c r="B18" s="12">
        <v>0</v>
      </c>
      <c r="C18" s="9" t="s">
        <v>8</v>
      </c>
      <c r="E18" s="10">
        <v>1</v>
      </c>
      <c r="F18" s="10">
        <v>0</v>
      </c>
      <c r="G18" s="10">
        <v>0</v>
      </c>
      <c r="I18" s="6"/>
    </row>
    <row r="19" spans="1:17" ht="13" x14ac:dyDescent="0.15">
      <c r="A19" s="7"/>
      <c r="B19" s="13"/>
      <c r="I19" s="6"/>
    </row>
    <row r="20" spans="1:17" ht="13" x14ac:dyDescent="0.15">
      <c r="A20" s="4" t="s">
        <v>15</v>
      </c>
      <c r="B20" s="13"/>
      <c r="I20" s="6"/>
    </row>
    <row r="21" spans="1:17" ht="13" x14ac:dyDescent="0.15">
      <c r="A21" s="7" t="s">
        <v>12</v>
      </c>
      <c r="B21" s="24">
        <v>0</v>
      </c>
      <c r="C21" s="9" t="s">
        <v>8</v>
      </c>
      <c r="E21" s="10">
        <v>0</v>
      </c>
      <c r="F21" s="10">
        <v>0</v>
      </c>
      <c r="G21" s="10">
        <v>0</v>
      </c>
      <c r="I21" s="6"/>
    </row>
    <row r="22" spans="1:17" ht="13" x14ac:dyDescent="0.15">
      <c r="A22" s="7" t="s">
        <v>16</v>
      </c>
      <c r="B22" s="24">
        <v>0</v>
      </c>
      <c r="C22" s="9" t="s">
        <v>8</v>
      </c>
      <c r="E22" s="10">
        <v>0</v>
      </c>
      <c r="F22" s="10">
        <v>0</v>
      </c>
      <c r="G22" s="10">
        <v>0</v>
      </c>
      <c r="I22" s="6"/>
    </row>
    <row r="23" spans="1:17" ht="13" x14ac:dyDescent="0.15">
      <c r="A23" s="7"/>
      <c r="I23" s="6"/>
    </row>
    <row r="24" spans="1:17" ht="13" x14ac:dyDescent="0.15">
      <c r="A24" s="4" t="s">
        <v>17</v>
      </c>
      <c r="I24" s="6"/>
      <c r="K24" s="1"/>
      <c r="L24" s="2"/>
      <c r="M24" s="2"/>
      <c r="N24" s="2"/>
      <c r="O24" s="2"/>
      <c r="P24" s="2"/>
      <c r="Q24" s="3"/>
    </row>
    <row r="25" spans="1:17" ht="13" x14ac:dyDescent="0.15">
      <c r="A25" s="7" t="s">
        <v>18</v>
      </c>
      <c r="B25" s="14">
        <v>300</v>
      </c>
      <c r="C25" s="9" t="s">
        <v>19</v>
      </c>
      <c r="E25" s="10">
        <v>0</v>
      </c>
      <c r="F25" s="10">
        <v>0</v>
      </c>
      <c r="G25" s="10">
        <v>0</v>
      </c>
      <c r="I25" s="6"/>
      <c r="K25" s="7"/>
      <c r="L25" s="15" t="s">
        <v>20</v>
      </c>
      <c r="M25" s="15"/>
      <c r="N25" s="15"/>
      <c r="O25" s="15" t="s">
        <v>21</v>
      </c>
      <c r="P25" s="15"/>
      <c r="Q25" s="6"/>
    </row>
    <row r="26" spans="1:17" ht="13" x14ac:dyDescent="0.15">
      <c r="A26" s="7" t="s">
        <v>22</v>
      </c>
      <c r="B26" s="12">
        <v>37</v>
      </c>
      <c r="C26" s="9" t="s">
        <v>8</v>
      </c>
      <c r="E26" s="10">
        <v>0</v>
      </c>
      <c r="F26" s="10">
        <v>0.996</v>
      </c>
      <c r="G26" s="10">
        <v>0.98</v>
      </c>
      <c r="I26" s="6"/>
      <c r="K26" s="7"/>
      <c r="L26" s="15" t="str">
        <f>E5</f>
        <v>"off"</v>
      </c>
      <c r="M26" s="15">
        <f>SUMPRODUCT(B7:B28, E7:E28)</f>
        <v>0.16300000000000001</v>
      </c>
      <c r="N26" s="15" t="s">
        <v>8</v>
      </c>
      <c r="O26" s="16">
        <f t="shared" ref="O26:O28" si="0">$M$31/M26</f>
        <v>22472.39263803681</v>
      </c>
      <c r="P26" s="15" t="s">
        <v>23</v>
      </c>
      <c r="Q26" s="6"/>
    </row>
    <row r="27" spans="1:17" ht="13" x14ac:dyDescent="0.15">
      <c r="A27" s="7" t="s">
        <v>24</v>
      </c>
      <c r="B27" s="12">
        <v>280</v>
      </c>
      <c r="C27" s="9" t="s">
        <v>8</v>
      </c>
      <c r="E27" s="10">
        <v>0</v>
      </c>
      <c r="F27" s="10">
        <v>2E-3</v>
      </c>
      <c r="G27" s="10">
        <v>0.01</v>
      </c>
      <c r="I27" s="6"/>
      <c r="K27" s="7"/>
      <c r="L27" s="15" t="str">
        <f>F5</f>
        <v>"sensing"</v>
      </c>
      <c r="M27" s="15">
        <f>SUMPRODUCT(B7:B28, F7:F28)</f>
        <v>93.337000000000003</v>
      </c>
      <c r="N27" s="15" t="s">
        <v>8</v>
      </c>
      <c r="O27" s="16">
        <f t="shared" si="0"/>
        <v>39.244886808018258</v>
      </c>
      <c r="P27" s="15" t="s">
        <v>23</v>
      </c>
      <c r="Q27" s="6"/>
    </row>
    <row r="28" spans="1:17" ht="13" x14ac:dyDescent="0.15">
      <c r="A28" s="7" t="s">
        <v>25</v>
      </c>
      <c r="B28" s="12">
        <v>150</v>
      </c>
      <c r="C28" s="9" t="s">
        <v>8</v>
      </c>
      <c r="E28" s="10">
        <v>0</v>
      </c>
      <c r="F28" s="10">
        <v>2E-3</v>
      </c>
      <c r="G28" s="10">
        <v>0.01</v>
      </c>
      <c r="I28" s="6"/>
      <c r="K28" s="7"/>
      <c r="L28" s="15" t="str">
        <f>G5</f>
        <v>"interactive"</v>
      </c>
      <c r="M28" s="15">
        <f>SUMPRODUCT(B7:B28, G7:G28)</f>
        <v>156.31</v>
      </c>
      <c r="N28" s="15" t="s">
        <v>8</v>
      </c>
      <c r="O28" s="16">
        <f t="shared" si="0"/>
        <v>23.434201266713583</v>
      </c>
      <c r="P28" s="15" t="s">
        <v>23</v>
      </c>
      <c r="Q28" s="6"/>
    </row>
    <row r="29" spans="1:17" ht="13" x14ac:dyDescent="0.15">
      <c r="A29" s="7"/>
      <c r="I29" s="6"/>
      <c r="K29" s="7"/>
      <c r="Q29" s="6"/>
    </row>
    <row r="30" spans="1:17" ht="13" x14ac:dyDescent="0.15">
      <c r="A30" s="4"/>
      <c r="E30" s="14">
        <v>20</v>
      </c>
      <c r="F30" s="14">
        <v>3</v>
      </c>
      <c r="G30" s="14">
        <v>1</v>
      </c>
      <c r="H30" s="9" t="s">
        <v>26</v>
      </c>
      <c r="I30" s="6"/>
      <c r="K30" s="7"/>
      <c r="L30" s="9" t="s">
        <v>27</v>
      </c>
      <c r="Q30" s="6"/>
    </row>
    <row r="31" spans="1:17" ht="13" x14ac:dyDescent="0.15">
      <c r="A31" s="4" t="s">
        <v>28</v>
      </c>
      <c r="I31" s="6"/>
      <c r="K31" s="7"/>
      <c r="M31" s="9">
        <f>B32*B33*B34</f>
        <v>3663</v>
      </c>
      <c r="N31" s="9" t="s">
        <v>29</v>
      </c>
      <c r="Q31" s="6"/>
    </row>
    <row r="32" spans="1:17" ht="13" x14ac:dyDescent="0.15">
      <c r="A32" s="7" t="s">
        <v>30</v>
      </c>
      <c r="B32" s="12">
        <v>1000</v>
      </c>
      <c r="C32" s="9" t="s">
        <v>31</v>
      </c>
      <c r="I32" s="6"/>
      <c r="K32" s="7"/>
      <c r="Q32" s="6"/>
    </row>
    <row r="33" spans="1:17" ht="13" x14ac:dyDescent="0.15">
      <c r="A33" s="7" t="s">
        <v>32</v>
      </c>
      <c r="B33" s="12">
        <v>3.7</v>
      </c>
      <c r="C33" s="9" t="s">
        <v>33</v>
      </c>
      <c r="I33" s="6"/>
      <c r="K33" s="7"/>
      <c r="L33" s="17" t="s">
        <v>34</v>
      </c>
      <c r="M33" s="18">
        <f>M31/(E30*M26+F30*M27+G30*M28)</f>
        <v>8.3329352269547581</v>
      </c>
      <c r="N33" s="17" t="s">
        <v>35</v>
      </c>
      <c r="Q33" s="6"/>
    </row>
    <row r="34" spans="1:17" ht="13" x14ac:dyDescent="0.15">
      <c r="A34" s="7" t="s">
        <v>36</v>
      </c>
      <c r="B34" s="10">
        <v>0.99</v>
      </c>
      <c r="I34" s="6"/>
      <c r="K34" s="7"/>
      <c r="L34" s="17" t="s">
        <v>37</v>
      </c>
      <c r="M34" s="18">
        <f>M33*24</f>
        <v>199.99044544691418</v>
      </c>
      <c r="N34" s="17" t="s">
        <v>23</v>
      </c>
      <c r="Q34" s="6"/>
    </row>
    <row r="35" spans="1:17" ht="13" x14ac:dyDescent="0.15">
      <c r="A35" s="19"/>
      <c r="B35" s="20"/>
      <c r="C35" s="20"/>
      <c r="D35" s="20"/>
      <c r="E35" s="20"/>
      <c r="F35" s="20"/>
      <c r="G35" s="20"/>
      <c r="H35" s="20"/>
      <c r="I35" s="21"/>
      <c r="K35" s="19"/>
      <c r="L35" s="20"/>
      <c r="M35" s="20"/>
      <c r="N35" s="20"/>
      <c r="O35" s="20"/>
      <c r="P35" s="20"/>
      <c r="Q35" s="21"/>
    </row>
    <row r="38" spans="1:17" ht="13" x14ac:dyDescent="0.15">
      <c r="A38" s="5" t="s">
        <v>38</v>
      </c>
    </row>
    <row r="39" spans="1:17" ht="15.75" customHeight="1" x14ac:dyDescent="0.15">
      <c r="A39" s="26" t="s">
        <v>39</v>
      </c>
    </row>
    <row r="40" spans="1:17" ht="15.75" customHeight="1" x14ac:dyDescent="0.15">
      <c r="A40" t="s">
        <v>40</v>
      </c>
    </row>
    <row r="41" spans="1:17" ht="15.75" customHeight="1" x14ac:dyDescent="0.15">
      <c r="A41" s="26" t="s">
        <v>41</v>
      </c>
    </row>
    <row r="42" spans="1:17" ht="15.75" customHeight="1" x14ac:dyDescent="0.15">
      <c r="A42" t="s">
        <v>42</v>
      </c>
    </row>
    <row r="43" spans="1:17" ht="15.75" customHeight="1" x14ac:dyDescent="0.15">
      <c r="A43" s="26" t="s">
        <v>43</v>
      </c>
    </row>
    <row r="44" spans="1:17" ht="15.75" customHeight="1" x14ac:dyDescent="0.15">
      <c r="A44" t="s">
        <v>44</v>
      </c>
    </row>
  </sheetData>
  <phoneticPr fontId="6" type="noConversion"/>
  <hyperlinks>
    <hyperlink ref="A6" r:id="rId1" xr:uid="{10B52C8B-E83E-4949-93D6-021904EFBAE7}"/>
    <hyperlink ref="A15" r:id="rId2" xr:uid="{1D9F791E-942F-48A9-8D08-8E525B81144D}"/>
  </hyperlinks>
  <pageMargins left="0" right="0" top="0" bottom="0" header="0" footer="0"/>
  <pageSetup paperSize="9" scale="55" orientation="landscape" horizontalDpi="0" verticalDpi="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50:W118"/>
  <sheetViews>
    <sheetView workbookViewId="0"/>
  </sheetViews>
  <sheetFormatPr baseColWidth="10" defaultColWidth="12.5" defaultRowHeight="15.75" customHeight="1" x14ac:dyDescent="0.15"/>
  <sheetData>
    <row r="50" spans="1:23" ht="15.75" customHeight="1" x14ac:dyDescent="0.15">
      <c r="A50" s="9" t="s">
        <v>45</v>
      </c>
    </row>
    <row r="52" spans="1:23" ht="15.75" customHeight="1" x14ac:dyDescent="0.15">
      <c r="A52" s="9" t="str">
        <f>'System Parameters'!A3</f>
        <v>System Parameters (defined by hardware)</v>
      </c>
      <c r="B52" s="9">
        <f>'System Parameters'!B3</f>
        <v>0</v>
      </c>
      <c r="C52" s="9">
        <f>'System Parameters'!C3</f>
        <v>0</v>
      </c>
      <c r="D52" s="9">
        <f>'System Parameters'!D3</f>
        <v>0</v>
      </c>
      <c r="T52" s="9" t="str">
        <f>'System Parameters'!E3</f>
        <v>Profiles (usage of each component mode - defined by software and usage)</v>
      </c>
      <c r="U52" s="9">
        <f>'System Parameters'!F3</f>
        <v>0</v>
      </c>
      <c r="V52" s="9">
        <f>'System Parameters'!G3</f>
        <v>0</v>
      </c>
      <c r="W52" s="9">
        <f>'System Parameters'!H3</f>
        <v>0</v>
      </c>
    </row>
    <row r="53" spans="1:23" ht="15.75" customHeight="1" x14ac:dyDescent="0.15">
      <c r="A53" s="9">
        <f>'System Parameters'!A4</f>
        <v>0</v>
      </c>
      <c r="B53" s="9" t="str">
        <f>'System Parameters'!B4</f>
        <v>form the datasheets</v>
      </c>
      <c r="C53" s="9">
        <f>'System Parameters'!C4</f>
        <v>0</v>
      </c>
      <c r="D53" s="9">
        <f>'System Parameters'!D4</f>
        <v>0</v>
      </c>
      <c r="T53" s="9">
        <f>'System Parameters'!E4</f>
        <v>0</v>
      </c>
      <c r="U53" s="9">
        <f>'System Parameters'!F4</f>
        <v>0</v>
      </c>
      <c r="V53" s="9">
        <f>'System Parameters'!G4</f>
        <v>0</v>
      </c>
      <c r="W53" s="9">
        <f>'System Parameters'!H4</f>
        <v>0</v>
      </c>
    </row>
    <row r="54" spans="1:23" ht="15.75" customHeight="1" x14ac:dyDescent="0.15">
      <c r="A54" s="9">
        <f>'System Parameters'!A5</f>
        <v>0</v>
      </c>
      <c r="B54" s="9">
        <f>'System Parameters'!B5</f>
        <v>0</v>
      </c>
      <c r="C54" s="9">
        <f>'System Parameters'!C5</f>
        <v>0</v>
      </c>
      <c r="D54" s="9">
        <f>'System Parameters'!D5</f>
        <v>0</v>
      </c>
      <c r="T54" s="9" t="str">
        <f>'System Parameters'!E5</f>
        <v>"off"</v>
      </c>
      <c r="U54" s="9" t="str">
        <f>'System Parameters'!F5</f>
        <v>"sensing"</v>
      </c>
      <c r="V54" s="9" t="str">
        <f>'System Parameters'!G5</f>
        <v>"interactive"</v>
      </c>
      <c r="W54" s="9">
        <f>'System Parameters'!H5</f>
        <v>0</v>
      </c>
    </row>
    <row r="55" spans="1:23" ht="15.75" customHeight="1" x14ac:dyDescent="0.15">
      <c r="A55" s="9" t="str">
        <f>'System Parameters'!A6</f>
        <v>Processor</v>
      </c>
      <c r="B55" s="9">
        <f>'System Parameters'!B6</f>
        <v>0</v>
      </c>
      <c r="C55" s="9">
        <f>'System Parameters'!C6</f>
        <v>0</v>
      </c>
      <c r="D55" s="9">
        <f>'System Parameters'!D6</f>
        <v>0</v>
      </c>
      <c r="T55" s="9">
        <f>'System Parameters'!E6</f>
        <v>0</v>
      </c>
      <c r="U55" s="9">
        <f>'System Parameters'!F6</f>
        <v>0</v>
      </c>
      <c r="V55" s="9">
        <f>'System Parameters'!G6</f>
        <v>0</v>
      </c>
      <c r="W55" s="9">
        <f>'System Parameters'!H6</f>
        <v>0</v>
      </c>
    </row>
    <row r="56" spans="1:23" ht="15.75" customHeight="1" x14ac:dyDescent="0.15">
      <c r="A56" s="9" t="str">
        <f>'System Parameters'!A7</f>
        <v>Active</v>
      </c>
      <c r="B56" s="13">
        <f>'System Parameters'!B7</f>
        <v>277.5</v>
      </c>
      <c r="C56" s="9" t="str">
        <f>'System Parameters'!C7</f>
        <v>mW</v>
      </c>
      <c r="D56" s="9">
        <f>$B56*0.9</f>
        <v>249.75</v>
      </c>
      <c r="E56" s="13">
        <f t="shared" ref="E56:O56" si="0">$B56</f>
        <v>277.5</v>
      </c>
      <c r="F56" s="13">
        <f t="shared" si="0"/>
        <v>277.5</v>
      </c>
      <c r="G56" s="13">
        <f t="shared" si="0"/>
        <v>277.5</v>
      </c>
      <c r="H56" s="13">
        <f t="shared" si="0"/>
        <v>277.5</v>
      </c>
      <c r="I56" s="13">
        <f t="shared" si="0"/>
        <v>277.5</v>
      </c>
      <c r="J56" s="13">
        <f t="shared" si="0"/>
        <v>277.5</v>
      </c>
      <c r="K56" s="13">
        <f t="shared" si="0"/>
        <v>277.5</v>
      </c>
      <c r="L56" s="13">
        <f t="shared" si="0"/>
        <v>277.5</v>
      </c>
      <c r="M56" s="13">
        <f t="shared" si="0"/>
        <v>277.5</v>
      </c>
      <c r="N56" s="13">
        <f t="shared" si="0"/>
        <v>277.5</v>
      </c>
      <c r="O56" s="13">
        <f t="shared" si="0"/>
        <v>277.5</v>
      </c>
      <c r="T56" s="22">
        <f>'System Parameters'!E7</f>
        <v>0</v>
      </c>
      <c r="U56" s="22">
        <f>'System Parameters'!F7</f>
        <v>0.05</v>
      </c>
      <c r="V56" s="22">
        <f>'System Parameters'!G7</f>
        <v>0.3</v>
      </c>
      <c r="W56" s="9">
        <f>'System Parameters'!H7</f>
        <v>0</v>
      </c>
    </row>
    <row r="57" spans="1:23" ht="15.75" customHeight="1" x14ac:dyDescent="0.15">
      <c r="A57" s="9" t="str">
        <f>'System Parameters'!A8</f>
        <v>Idle</v>
      </c>
      <c r="B57" s="13">
        <f>'System Parameters'!B8</f>
        <v>37</v>
      </c>
      <c r="C57" s="9" t="str">
        <f>'System Parameters'!C8</f>
        <v>mW</v>
      </c>
      <c r="D57" s="13">
        <f t="shared" ref="D57:D76" si="1">$B57</f>
        <v>37</v>
      </c>
      <c r="E57" s="9">
        <f>$B57*0.9</f>
        <v>33.300000000000004</v>
      </c>
      <c r="F57" s="13">
        <f t="shared" ref="F57:O57" si="2">$B57</f>
        <v>37</v>
      </c>
      <c r="G57" s="13">
        <f t="shared" si="2"/>
        <v>37</v>
      </c>
      <c r="H57" s="13">
        <f t="shared" si="2"/>
        <v>37</v>
      </c>
      <c r="I57" s="13">
        <f t="shared" si="2"/>
        <v>37</v>
      </c>
      <c r="J57" s="13">
        <f t="shared" si="2"/>
        <v>37</v>
      </c>
      <c r="K57" s="13">
        <f t="shared" si="2"/>
        <v>37</v>
      </c>
      <c r="L57" s="13">
        <f t="shared" si="2"/>
        <v>37</v>
      </c>
      <c r="M57" s="13">
        <f t="shared" si="2"/>
        <v>37</v>
      </c>
      <c r="N57" s="13">
        <f t="shared" si="2"/>
        <v>37</v>
      </c>
      <c r="O57" s="13">
        <f t="shared" si="2"/>
        <v>37</v>
      </c>
      <c r="T57" s="22">
        <f>'System Parameters'!E8</f>
        <v>0</v>
      </c>
      <c r="U57" s="22">
        <f>'System Parameters'!F8</f>
        <v>0.95</v>
      </c>
      <c r="V57" s="22">
        <f>'System Parameters'!G8</f>
        <v>0.7</v>
      </c>
      <c r="W57" s="9">
        <f>'System Parameters'!H8</f>
        <v>0</v>
      </c>
    </row>
    <row r="58" spans="1:23" ht="13" x14ac:dyDescent="0.15">
      <c r="A58" s="9" t="str">
        <f>'System Parameters'!A9</f>
        <v>Sleep</v>
      </c>
      <c r="B58" s="13">
        <f>'System Parameters'!B9</f>
        <v>0.16300000000000001</v>
      </c>
      <c r="C58" s="9" t="str">
        <f>'System Parameters'!C9</f>
        <v>mW</v>
      </c>
      <c r="D58" s="13">
        <f t="shared" si="1"/>
        <v>0.16300000000000001</v>
      </c>
      <c r="E58" s="13">
        <f t="shared" ref="E58:E76" si="3">$B58</f>
        <v>0.16300000000000001</v>
      </c>
      <c r="F58" s="9">
        <f>$B58*0.9</f>
        <v>0.1467</v>
      </c>
      <c r="G58" s="13">
        <f t="shared" ref="G58:O58" si="4">$B58</f>
        <v>0.16300000000000001</v>
      </c>
      <c r="H58" s="13">
        <f t="shared" si="4"/>
        <v>0.16300000000000001</v>
      </c>
      <c r="I58" s="13">
        <f t="shared" si="4"/>
        <v>0.16300000000000001</v>
      </c>
      <c r="J58" s="13">
        <f t="shared" si="4"/>
        <v>0.16300000000000001</v>
      </c>
      <c r="K58" s="13">
        <f t="shared" si="4"/>
        <v>0.16300000000000001</v>
      </c>
      <c r="L58" s="13">
        <f t="shared" si="4"/>
        <v>0.16300000000000001</v>
      </c>
      <c r="M58" s="13">
        <f t="shared" si="4"/>
        <v>0.16300000000000001</v>
      </c>
      <c r="N58" s="13">
        <f t="shared" si="4"/>
        <v>0.16300000000000001</v>
      </c>
      <c r="O58" s="13">
        <f t="shared" si="4"/>
        <v>0.16300000000000001</v>
      </c>
      <c r="T58" s="22">
        <f>'System Parameters'!E9</f>
        <v>1</v>
      </c>
      <c r="U58" s="22">
        <f>'System Parameters'!F9</f>
        <v>0</v>
      </c>
      <c r="V58" s="22">
        <f>'System Parameters'!G9</f>
        <v>0</v>
      </c>
      <c r="W58" s="9">
        <f>'System Parameters'!H9</f>
        <v>0</v>
      </c>
    </row>
    <row r="59" spans="1:23" ht="13" x14ac:dyDescent="0.15">
      <c r="A59" s="9">
        <f>'System Parameters'!A10</f>
        <v>0</v>
      </c>
      <c r="B59" s="9">
        <f>'System Parameters'!B10</f>
        <v>0</v>
      </c>
      <c r="C59" s="9">
        <f>'System Parameters'!C10</f>
        <v>0</v>
      </c>
      <c r="D59" s="9">
        <f t="shared" si="1"/>
        <v>0</v>
      </c>
      <c r="E59" s="9">
        <f t="shared" si="3"/>
        <v>0</v>
      </c>
      <c r="F59" s="9">
        <f t="shared" ref="F59:O59" si="5">$B59</f>
        <v>0</v>
      </c>
      <c r="G59" s="9">
        <f t="shared" si="5"/>
        <v>0</v>
      </c>
      <c r="H59" s="9">
        <f t="shared" si="5"/>
        <v>0</v>
      </c>
      <c r="I59" s="9">
        <f t="shared" si="5"/>
        <v>0</v>
      </c>
      <c r="J59" s="9">
        <f t="shared" si="5"/>
        <v>0</v>
      </c>
      <c r="K59" s="9">
        <f t="shared" si="5"/>
        <v>0</v>
      </c>
      <c r="L59" s="9">
        <f t="shared" si="5"/>
        <v>0</v>
      </c>
      <c r="M59" s="9">
        <f t="shared" si="5"/>
        <v>0</v>
      </c>
      <c r="N59" s="9">
        <f t="shared" si="5"/>
        <v>0</v>
      </c>
      <c r="O59" s="9">
        <f t="shared" si="5"/>
        <v>0</v>
      </c>
      <c r="T59" s="9">
        <f>'System Parameters'!E10</f>
        <v>0</v>
      </c>
      <c r="U59" s="9">
        <f>'System Parameters'!F10</f>
        <v>0</v>
      </c>
      <c r="V59" s="9">
        <f>'System Parameters'!G10</f>
        <v>0</v>
      </c>
      <c r="W59" s="9">
        <f>'System Parameters'!H10</f>
        <v>0</v>
      </c>
    </row>
    <row r="60" spans="1:23" ht="13" x14ac:dyDescent="0.15">
      <c r="A60" s="9" t="str">
        <f>'System Parameters'!A11</f>
        <v>LED</v>
      </c>
      <c r="B60" s="9">
        <f>'System Parameters'!B11</f>
        <v>0</v>
      </c>
      <c r="C60" s="9">
        <f>'System Parameters'!C11</f>
        <v>0</v>
      </c>
      <c r="D60" s="9">
        <f t="shared" si="1"/>
        <v>0</v>
      </c>
      <c r="E60" s="9">
        <f t="shared" si="3"/>
        <v>0</v>
      </c>
      <c r="F60" s="9">
        <f t="shared" ref="F60:O60" si="6">$B60</f>
        <v>0</v>
      </c>
      <c r="G60" s="9">
        <f t="shared" si="6"/>
        <v>0</v>
      </c>
      <c r="H60" s="9">
        <f t="shared" si="6"/>
        <v>0</v>
      </c>
      <c r="I60" s="9">
        <f t="shared" si="6"/>
        <v>0</v>
      </c>
      <c r="J60" s="9">
        <f t="shared" si="6"/>
        <v>0</v>
      </c>
      <c r="K60" s="9">
        <f t="shared" si="6"/>
        <v>0</v>
      </c>
      <c r="L60" s="9">
        <f t="shared" si="6"/>
        <v>0</v>
      </c>
      <c r="M60" s="9">
        <f t="shared" si="6"/>
        <v>0</v>
      </c>
      <c r="N60" s="9">
        <f t="shared" si="6"/>
        <v>0</v>
      </c>
      <c r="O60" s="9">
        <f t="shared" si="6"/>
        <v>0</v>
      </c>
      <c r="T60" s="9">
        <f>'System Parameters'!E11</f>
        <v>0</v>
      </c>
      <c r="U60" s="9">
        <f>'System Parameters'!F11</f>
        <v>0</v>
      </c>
      <c r="V60" s="9">
        <f>'System Parameters'!G11</f>
        <v>0</v>
      </c>
      <c r="W60" s="9">
        <f>'System Parameters'!H11</f>
        <v>0</v>
      </c>
    </row>
    <row r="61" spans="1:23" ht="13" x14ac:dyDescent="0.15">
      <c r="A61" s="9" t="str">
        <f>'System Parameters'!A12</f>
        <v>On</v>
      </c>
      <c r="B61" s="13">
        <f>'System Parameters'!B12</f>
        <v>0</v>
      </c>
      <c r="C61" s="9" t="str">
        <f>'System Parameters'!C12</f>
        <v>mW</v>
      </c>
      <c r="D61" s="13">
        <f t="shared" si="1"/>
        <v>0</v>
      </c>
      <c r="E61" s="13">
        <f t="shared" si="3"/>
        <v>0</v>
      </c>
      <c r="F61" s="13">
        <f t="shared" ref="F61:F76" si="7">$B61</f>
        <v>0</v>
      </c>
      <c r="G61" s="9">
        <f>$B61*0.9</f>
        <v>0</v>
      </c>
      <c r="H61" s="13">
        <f t="shared" ref="H61:O61" si="8">$B61</f>
        <v>0</v>
      </c>
      <c r="I61" s="13">
        <f t="shared" si="8"/>
        <v>0</v>
      </c>
      <c r="J61" s="13">
        <f t="shared" si="8"/>
        <v>0</v>
      </c>
      <c r="K61" s="13">
        <f t="shared" si="8"/>
        <v>0</v>
      </c>
      <c r="L61" s="13">
        <f t="shared" si="8"/>
        <v>0</v>
      </c>
      <c r="M61" s="13">
        <f t="shared" si="8"/>
        <v>0</v>
      </c>
      <c r="N61" s="13">
        <f t="shared" si="8"/>
        <v>0</v>
      </c>
      <c r="O61" s="13">
        <f t="shared" si="8"/>
        <v>0</v>
      </c>
      <c r="T61" s="22">
        <f>'System Parameters'!E12</f>
        <v>0</v>
      </c>
      <c r="U61" s="22">
        <f>'System Parameters'!F12</f>
        <v>0</v>
      </c>
      <c r="V61" s="22">
        <f>'System Parameters'!G12</f>
        <v>0</v>
      </c>
      <c r="W61" s="9">
        <f>'System Parameters'!H12</f>
        <v>0</v>
      </c>
    </row>
    <row r="62" spans="1:23" ht="13" x14ac:dyDescent="0.15">
      <c r="A62" s="9">
        <f>'System Parameters'!A13</f>
        <v>0</v>
      </c>
      <c r="B62" s="13">
        <f>'System Parameters'!B13</f>
        <v>0</v>
      </c>
      <c r="C62" s="9">
        <f>'System Parameters'!C13</f>
        <v>0</v>
      </c>
      <c r="D62" s="13">
        <f t="shared" si="1"/>
        <v>0</v>
      </c>
      <c r="E62" s="13">
        <f t="shared" si="3"/>
        <v>0</v>
      </c>
      <c r="F62" s="13">
        <f t="shared" si="7"/>
        <v>0</v>
      </c>
      <c r="G62" s="13">
        <f t="shared" ref="G62:O62" si="9">$B62</f>
        <v>0</v>
      </c>
      <c r="H62" s="13">
        <f t="shared" si="9"/>
        <v>0</v>
      </c>
      <c r="I62" s="13">
        <f t="shared" si="9"/>
        <v>0</v>
      </c>
      <c r="J62" s="13">
        <f t="shared" si="9"/>
        <v>0</v>
      </c>
      <c r="K62" s="13">
        <f t="shared" si="9"/>
        <v>0</v>
      </c>
      <c r="L62" s="13">
        <f t="shared" si="9"/>
        <v>0</v>
      </c>
      <c r="M62" s="13">
        <f t="shared" si="9"/>
        <v>0</v>
      </c>
      <c r="N62" s="13">
        <f t="shared" si="9"/>
        <v>0</v>
      </c>
      <c r="O62" s="13">
        <f t="shared" si="9"/>
        <v>0</v>
      </c>
      <c r="T62" s="9">
        <f>'System Parameters'!E13</f>
        <v>0</v>
      </c>
      <c r="U62" s="9">
        <f>'System Parameters'!F13</f>
        <v>0</v>
      </c>
      <c r="V62" s="9">
        <f>'System Parameters'!G13</f>
        <v>0</v>
      </c>
      <c r="W62" s="9">
        <f>'System Parameters'!H13</f>
        <v>0</v>
      </c>
    </row>
    <row r="63" spans="1:23" ht="13" x14ac:dyDescent="0.15">
      <c r="A63" s="9">
        <f>'System Parameters'!A14</f>
        <v>0</v>
      </c>
      <c r="B63" s="13">
        <f>'System Parameters'!B14</f>
        <v>0</v>
      </c>
      <c r="C63" s="9">
        <f>'System Parameters'!C14</f>
        <v>0</v>
      </c>
      <c r="D63" s="13">
        <f t="shared" si="1"/>
        <v>0</v>
      </c>
      <c r="E63" s="13">
        <f t="shared" si="3"/>
        <v>0</v>
      </c>
      <c r="F63" s="13">
        <f t="shared" si="7"/>
        <v>0</v>
      </c>
      <c r="G63" s="13">
        <f t="shared" ref="G63:O63" si="10">$B63</f>
        <v>0</v>
      </c>
      <c r="H63" s="13">
        <f t="shared" si="10"/>
        <v>0</v>
      </c>
      <c r="I63" s="13">
        <f t="shared" si="10"/>
        <v>0</v>
      </c>
      <c r="J63" s="13">
        <f t="shared" si="10"/>
        <v>0</v>
      </c>
      <c r="K63" s="13">
        <f t="shared" si="10"/>
        <v>0</v>
      </c>
      <c r="L63" s="13">
        <f t="shared" si="10"/>
        <v>0</v>
      </c>
      <c r="M63" s="13">
        <f t="shared" si="10"/>
        <v>0</v>
      </c>
      <c r="N63" s="13">
        <f t="shared" si="10"/>
        <v>0</v>
      </c>
      <c r="O63" s="13">
        <f t="shared" si="10"/>
        <v>0</v>
      </c>
      <c r="T63" s="9">
        <f>'System Parameters'!E14</f>
        <v>0</v>
      </c>
      <c r="U63" s="9">
        <f>'System Parameters'!F14</f>
        <v>0</v>
      </c>
      <c r="V63" s="9">
        <f>'System Parameters'!G14</f>
        <v>0</v>
      </c>
      <c r="W63" s="9">
        <f>'System Parameters'!H14</f>
        <v>0</v>
      </c>
    </row>
    <row r="64" spans="1:23" ht="13" x14ac:dyDescent="0.15">
      <c r="A64" s="9" t="str">
        <f>'System Parameters'!A15</f>
        <v>Sensor</v>
      </c>
      <c r="B64" s="13">
        <f>'System Parameters'!B15</f>
        <v>0</v>
      </c>
      <c r="C64" s="9">
        <f>'System Parameters'!C15</f>
        <v>0</v>
      </c>
      <c r="D64" s="13">
        <f t="shared" si="1"/>
        <v>0</v>
      </c>
      <c r="E64" s="13">
        <f t="shared" si="3"/>
        <v>0</v>
      </c>
      <c r="F64" s="13">
        <f t="shared" si="7"/>
        <v>0</v>
      </c>
      <c r="G64" s="13">
        <f t="shared" ref="G64:O64" si="11">$B64</f>
        <v>0</v>
      </c>
      <c r="H64" s="13">
        <f t="shared" si="11"/>
        <v>0</v>
      </c>
      <c r="I64" s="13">
        <f t="shared" si="11"/>
        <v>0</v>
      </c>
      <c r="J64" s="13">
        <f t="shared" si="11"/>
        <v>0</v>
      </c>
      <c r="K64" s="13">
        <f t="shared" si="11"/>
        <v>0</v>
      </c>
      <c r="L64" s="13">
        <f t="shared" si="11"/>
        <v>0</v>
      </c>
      <c r="M64" s="13">
        <f t="shared" si="11"/>
        <v>0</v>
      </c>
      <c r="N64" s="13">
        <f t="shared" si="11"/>
        <v>0</v>
      </c>
      <c r="O64" s="13">
        <f t="shared" si="11"/>
        <v>0</v>
      </c>
      <c r="T64" s="9">
        <f>'System Parameters'!E15</f>
        <v>0</v>
      </c>
      <c r="U64" s="9">
        <f>'System Parameters'!F15</f>
        <v>0</v>
      </c>
      <c r="V64" s="9">
        <f>'System Parameters'!G15</f>
        <v>0</v>
      </c>
      <c r="W64" s="9">
        <f>'System Parameters'!H15</f>
        <v>0</v>
      </c>
    </row>
    <row r="65" spans="1:23" ht="13" x14ac:dyDescent="0.15">
      <c r="A65" s="9" t="str">
        <f>'System Parameters'!A16</f>
        <v>On</v>
      </c>
      <c r="B65" s="13">
        <f>'System Parameters'!B16</f>
        <v>6.6</v>
      </c>
      <c r="C65" s="9" t="str">
        <f>'System Parameters'!C16</f>
        <v>mW</v>
      </c>
      <c r="D65" s="13">
        <f t="shared" si="1"/>
        <v>6.6</v>
      </c>
      <c r="E65" s="13">
        <f t="shared" si="3"/>
        <v>6.6</v>
      </c>
      <c r="F65" s="13">
        <f t="shared" si="7"/>
        <v>6.6</v>
      </c>
      <c r="G65" s="13">
        <f t="shared" ref="G65:G76" si="12">$B65</f>
        <v>6.6</v>
      </c>
      <c r="H65" s="9">
        <f>$B65*0.9</f>
        <v>5.9399999999999995</v>
      </c>
      <c r="I65" s="13">
        <f t="shared" ref="I65:O65" si="13">$B65</f>
        <v>6.6</v>
      </c>
      <c r="J65" s="13">
        <f t="shared" si="13"/>
        <v>6.6</v>
      </c>
      <c r="K65" s="13">
        <f t="shared" si="13"/>
        <v>6.6</v>
      </c>
      <c r="L65" s="13">
        <f t="shared" si="13"/>
        <v>6.6</v>
      </c>
      <c r="M65" s="13">
        <f t="shared" si="13"/>
        <v>6.6</v>
      </c>
      <c r="N65" s="13">
        <f t="shared" si="13"/>
        <v>6.6</v>
      </c>
      <c r="O65" s="13">
        <f t="shared" si="13"/>
        <v>6.6</v>
      </c>
      <c r="T65" s="22">
        <f>'System Parameters'!E16</f>
        <v>0</v>
      </c>
      <c r="U65" s="22">
        <f>'System Parameters'!F16</f>
        <v>1</v>
      </c>
      <c r="V65" s="22">
        <f>'System Parameters'!G16</f>
        <v>1</v>
      </c>
      <c r="W65" s="9">
        <f>'System Parameters'!H16</f>
        <v>0</v>
      </c>
    </row>
    <row r="66" spans="1:23" ht="13" x14ac:dyDescent="0.15">
      <c r="A66" s="9" t="str">
        <f>'System Parameters'!A17</f>
        <v>Idle</v>
      </c>
      <c r="B66" s="13">
        <f>'System Parameters'!B17</f>
        <v>3.3</v>
      </c>
      <c r="C66" s="9" t="str">
        <f>'System Parameters'!C17</f>
        <v>mW</v>
      </c>
      <c r="D66" s="13">
        <f t="shared" si="1"/>
        <v>3.3</v>
      </c>
      <c r="E66" s="13">
        <f t="shared" si="3"/>
        <v>3.3</v>
      </c>
      <c r="F66" s="13">
        <f t="shared" si="7"/>
        <v>3.3</v>
      </c>
      <c r="G66" s="13">
        <f t="shared" si="12"/>
        <v>3.3</v>
      </c>
      <c r="H66" s="13">
        <f t="shared" ref="H66:H76" si="14">$B66</f>
        <v>3.3</v>
      </c>
      <c r="I66" s="9">
        <f>$B66*0.9</f>
        <v>2.9699999999999998</v>
      </c>
      <c r="J66" s="13">
        <f t="shared" ref="J66:O66" si="15">$B66</f>
        <v>3.3</v>
      </c>
      <c r="K66" s="13">
        <f t="shared" si="15"/>
        <v>3.3</v>
      </c>
      <c r="L66" s="13">
        <f t="shared" si="15"/>
        <v>3.3</v>
      </c>
      <c r="M66" s="13">
        <f t="shared" si="15"/>
        <v>3.3</v>
      </c>
      <c r="N66" s="13">
        <f t="shared" si="15"/>
        <v>3.3</v>
      </c>
      <c r="O66" s="13">
        <f t="shared" si="15"/>
        <v>3.3</v>
      </c>
      <c r="T66" s="22">
        <f>'System Parameters'!E17</f>
        <v>0</v>
      </c>
      <c r="U66" s="22">
        <f>'System Parameters'!F17</f>
        <v>0</v>
      </c>
      <c r="V66" s="22">
        <f>'System Parameters'!G17</f>
        <v>0</v>
      </c>
      <c r="W66" s="9">
        <f>'System Parameters'!H17</f>
        <v>0</v>
      </c>
    </row>
    <row r="67" spans="1:23" ht="13" x14ac:dyDescent="0.15">
      <c r="A67" s="9" t="str">
        <f>'System Parameters'!A18</f>
        <v>Off</v>
      </c>
      <c r="B67" s="13">
        <f>'System Parameters'!B18</f>
        <v>0</v>
      </c>
      <c r="C67" s="9" t="str">
        <f>'System Parameters'!C18</f>
        <v>mW</v>
      </c>
      <c r="D67" s="13">
        <f t="shared" si="1"/>
        <v>0</v>
      </c>
      <c r="E67" s="13">
        <f t="shared" si="3"/>
        <v>0</v>
      </c>
      <c r="F67" s="13">
        <f t="shared" si="7"/>
        <v>0</v>
      </c>
      <c r="G67" s="13">
        <f t="shared" si="12"/>
        <v>0</v>
      </c>
      <c r="H67" s="13">
        <f t="shared" si="14"/>
        <v>0</v>
      </c>
      <c r="I67" s="13">
        <f t="shared" ref="I67:I76" si="16">$B67</f>
        <v>0</v>
      </c>
      <c r="J67" s="9">
        <f>$B67*0.9</f>
        <v>0</v>
      </c>
      <c r="K67" s="13">
        <f t="shared" ref="K67:O67" si="17">$B67</f>
        <v>0</v>
      </c>
      <c r="L67" s="13">
        <f t="shared" si="17"/>
        <v>0</v>
      </c>
      <c r="M67" s="13">
        <f t="shared" si="17"/>
        <v>0</v>
      </c>
      <c r="N67" s="13">
        <f t="shared" si="17"/>
        <v>0</v>
      </c>
      <c r="O67" s="13">
        <f t="shared" si="17"/>
        <v>0</v>
      </c>
      <c r="T67" s="22">
        <f>'System Parameters'!E18</f>
        <v>1</v>
      </c>
      <c r="U67" s="22">
        <f>'System Parameters'!F18</f>
        <v>0</v>
      </c>
      <c r="V67" s="22">
        <f>'System Parameters'!G18</f>
        <v>0</v>
      </c>
      <c r="W67" s="9">
        <f>'System Parameters'!H18</f>
        <v>0</v>
      </c>
    </row>
    <row r="68" spans="1:23" ht="13" x14ac:dyDescent="0.15">
      <c r="A68" s="9">
        <f>'System Parameters'!A19</f>
        <v>0</v>
      </c>
      <c r="B68" s="13">
        <f>'System Parameters'!B19</f>
        <v>0</v>
      </c>
      <c r="C68" s="9">
        <f>'System Parameters'!C19</f>
        <v>0</v>
      </c>
      <c r="D68" s="13">
        <f t="shared" si="1"/>
        <v>0</v>
      </c>
      <c r="E68" s="13">
        <f t="shared" si="3"/>
        <v>0</v>
      </c>
      <c r="F68" s="13">
        <f t="shared" si="7"/>
        <v>0</v>
      </c>
      <c r="G68" s="13">
        <f t="shared" si="12"/>
        <v>0</v>
      </c>
      <c r="H68" s="13">
        <f t="shared" si="14"/>
        <v>0</v>
      </c>
      <c r="I68" s="13">
        <f t="shared" si="16"/>
        <v>0</v>
      </c>
      <c r="J68" s="13">
        <f t="shared" ref="J68:O68" si="18">$B68</f>
        <v>0</v>
      </c>
      <c r="K68" s="13">
        <f t="shared" si="18"/>
        <v>0</v>
      </c>
      <c r="L68" s="13">
        <f t="shared" si="18"/>
        <v>0</v>
      </c>
      <c r="M68" s="13">
        <f t="shared" si="18"/>
        <v>0</v>
      </c>
      <c r="N68" s="13">
        <f t="shared" si="18"/>
        <v>0</v>
      </c>
      <c r="O68" s="13">
        <f t="shared" si="18"/>
        <v>0</v>
      </c>
      <c r="T68" s="9">
        <f>'System Parameters'!E19</f>
        <v>0</v>
      </c>
      <c r="U68" s="9">
        <f>'System Parameters'!F19</f>
        <v>0</v>
      </c>
      <c r="V68" s="9">
        <f>'System Parameters'!G19</f>
        <v>0</v>
      </c>
      <c r="W68" s="9">
        <f>'System Parameters'!H19</f>
        <v>0</v>
      </c>
    </row>
    <row r="69" spans="1:23" ht="13" x14ac:dyDescent="0.15">
      <c r="A69" s="9" t="str">
        <f>'System Parameters'!A20</f>
        <v>Display</v>
      </c>
      <c r="B69" s="13">
        <f>'System Parameters'!B20</f>
        <v>0</v>
      </c>
      <c r="C69" s="9">
        <f>'System Parameters'!C20</f>
        <v>0</v>
      </c>
      <c r="D69" s="13">
        <f t="shared" si="1"/>
        <v>0</v>
      </c>
      <c r="E69" s="13">
        <f t="shared" si="3"/>
        <v>0</v>
      </c>
      <c r="F69" s="13">
        <f t="shared" si="7"/>
        <v>0</v>
      </c>
      <c r="G69" s="13">
        <f t="shared" si="12"/>
        <v>0</v>
      </c>
      <c r="H69" s="13">
        <f t="shared" si="14"/>
        <v>0</v>
      </c>
      <c r="I69" s="13">
        <f t="shared" si="16"/>
        <v>0</v>
      </c>
      <c r="J69" s="13">
        <f t="shared" ref="J69:O69" si="19">$B69</f>
        <v>0</v>
      </c>
      <c r="K69" s="13">
        <f t="shared" si="19"/>
        <v>0</v>
      </c>
      <c r="L69" s="13">
        <f t="shared" si="19"/>
        <v>0</v>
      </c>
      <c r="M69" s="13">
        <f t="shared" si="19"/>
        <v>0</v>
      </c>
      <c r="N69" s="13">
        <f t="shared" si="19"/>
        <v>0</v>
      </c>
      <c r="O69" s="13">
        <f t="shared" si="19"/>
        <v>0</v>
      </c>
      <c r="T69" s="9">
        <f>'System Parameters'!E20</f>
        <v>0</v>
      </c>
      <c r="U69" s="9">
        <f>'System Parameters'!F20</f>
        <v>0</v>
      </c>
      <c r="V69" s="9">
        <f>'System Parameters'!G20</f>
        <v>0</v>
      </c>
      <c r="W69" s="9">
        <f>'System Parameters'!H20</f>
        <v>0</v>
      </c>
    </row>
    <row r="70" spans="1:23" ht="13" x14ac:dyDescent="0.15">
      <c r="A70" s="9" t="str">
        <f>'System Parameters'!A21</f>
        <v>On</v>
      </c>
      <c r="B70" s="13">
        <f>'System Parameters'!B21</f>
        <v>0</v>
      </c>
      <c r="C70" s="9" t="str">
        <f>'System Parameters'!C21</f>
        <v>mW</v>
      </c>
      <c r="D70" s="13">
        <f t="shared" si="1"/>
        <v>0</v>
      </c>
      <c r="E70" s="13">
        <f t="shared" si="3"/>
        <v>0</v>
      </c>
      <c r="F70" s="13">
        <f t="shared" si="7"/>
        <v>0</v>
      </c>
      <c r="G70" s="13">
        <f t="shared" si="12"/>
        <v>0</v>
      </c>
      <c r="H70" s="13">
        <f t="shared" si="14"/>
        <v>0</v>
      </c>
      <c r="I70" s="13">
        <f t="shared" si="16"/>
        <v>0</v>
      </c>
      <c r="J70" s="13">
        <f t="shared" ref="J70:J76" si="20">$B70</f>
        <v>0</v>
      </c>
      <c r="K70" s="9">
        <f>$B70*0.9</f>
        <v>0</v>
      </c>
      <c r="L70" s="13">
        <f t="shared" ref="L70:O70" si="21">$B70</f>
        <v>0</v>
      </c>
      <c r="M70" s="13">
        <f t="shared" si="21"/>
        <v>0</v>
      </c>
      <c r="N70" s="13">
        <f t="shared" si="21"/>
        <v>0</v>
      </c>
      <c r="O70" s="13">
        <f t="shared" si="21"/>
        <v>0</v>
      </c>
      <c r="T70" s="22">
        <f>'System Parameters'!E21</f>
        <v>0</v>
      </c>
      <c r="U70" s="22">
        <f>'System Parameters'!F21</f>
        <v>0</v>
      </c>
      <c r="V70" s="22">
        <f>'System Parameters'!G21</f>
        <v>0</v>
      </c>
      <c r="W70" s="9">
        <f>'System Parameters'!H21</f>
        <v>0</v>
      </c>
    </row>
    <row r="71" spans="1:23" ht="13" x14ac:dyDescent="0.15">
      <c r="A71" s="9" t="str">
        <f>'System Parameters'!A22</f>
        <v>Off (leakage)</v>
      </c>
      <c r="B71" s="13">
        <f>'System Parameters'!B22</f>
        <v>0</v>
      </c>
      <c r="C71" s="9" t="str">
        <f>'System Parameters'!C22</f>
        <v>mW</v>
      </c>
      <c r="D71" s="13">
        <f t="shared" si="1"/>
        <v>0</v>
      </c>
      <c r="E71" s="13">
        <f t="shared" si="3"/>
        <v>0</v>
      </c>
      <c r="F71" s="13">
        <f t="shared" si="7"/>
        <v>0</v>
      </c>
      <c r="G71" s="13">
        <f t="shared" si="12"/>
        <v>0</v>
      </c>
      <c r="H71" s="13">
        <f t="shared" si="14"/>
        <v>0</v>
      </c>
      <c r="I71" s="13">
        <f t="shared" si="16"/>
        <v>0</v>
      </c>
      <c r="J71" s="13">
        <f t="shared" si="20"/>
        <v>0</v>
      </c>
      <c r="K71" s="13">
        <f t="shared" ref="K71:K76" si="22">$B71</f>
        <v>0</v>
      </c>
      <c r="L71" s="9">
        <f>$B71*0.9</f>
        <v>0</v>
      </c>
      <c r="M71" s="13">
        <f t="shared" ref="M71:O71" si="23">$B71</f>
        <v>0</v>
      </c>
      <c r="N71" s="13">
        <f t="shared" si="23"/>
        <v>0</v>
      </c>
      <c r="O71" s="13">
        <f t="shared" si="23"/>
        <v>0</v>
      </c>
      <c r="T71" s="22">
        <f>'System Parameters'!E22</f>
        <v>0</v>
      </c>
      <c r="U71" s="22">
        <f>'System Parameters'!F22</f>
        <v>0</v>
      </c>
      <c r="V71" s="22">
        <f>'System Parameters'!G22</f>
        <v>0</v>
      </c>
      <c r="W71" s="9">
        <f>'System Parameters'!H22</f>
        <v>0</v>
      </c>
    </row>
    <row r="72" spans="1:23" ht="13" x14ac:dyDescent="0.15">
      <c r="A72" s="9">
        <f>'System Parameters'!A23</f>
        <v>0</v>
      </c>
      <c r="B72" s="9">
        <f>'System Parameters'!B23</f>
        <v>0</v>
      </c>
      <c r="C72" s="9">
        <f>'System Parameters'!C23</f>
        <v>0</v>
      </c>
      <c r="D72" s="9">
        <f t="shared" si="1"/>
        <v>0</v>
      </c>
      <c r="E72" s="9">
        <f t="shared" si="3"/>
        <v>0</v>
      </c>
      <c r="F72" s="9">
        <f t="shared" si="7"/>
        <v>0</v>
      </c>
      <c r="G72" s="9">
        <f t="shared" si="12"/>
        <v>0</v>
      </c>
      <c r="H72" s="9">
        <f t="shared" si="14"/>
        <v>0</v>
      </c>
      <c r="I72" s="9">
        <f t="shared" si="16"/>
        <v>0</v>
      </c>
      <c r="J72" s="9">
        <f t="shared" si="20"/>
        <v>0</v>
      </c>
      <c r="K72" s="9">
        <f t="shared" si="22"/>
        <v>0</v>
      </c>
      <c r="L72" s="9">
        <f t="shared" ref="L72:O72" si="24">$B72</f>
        <v>0</v>
      </c>
      <c r="M72" s="9">
        <f t="shared" si="24"/>
        <v>0</v>
      </c>
      <c r="N72" s="9">
        <f t="shared" si="24"/>
        <v>0</v>
      </c>
      <c r="O72" s="9">
        <f t="shared" si="24"/>
        <v>0</v>
      </c>
      <c r="T72" s="9">
        <f>'System Parameters'!E23</f>
        <v>0</v>
      </c>
      <c r="U72" s="9">
        <f>'System Parameters'!F23</f>
        <v>0</v>
      </c>
      <c r="V72" s="9">
        <f>'System Parameters'!G23</f>
        <v>0</v>
      </c>
      <c r="W72" s="9">
        <f>'System Parameters'!H23</f>
        <v>0</v>
      </c>
    </row>
    <row r="73" spans="1:23" ht="13" x14ac:dyDescent="0.15">
      <c r="A73" s="9" t="str">
        <f>'System Parameters'!A24</f>
        <v>Radio</v>
      </c>
      <c r="B73" s="9">
        <f>'System Parameters'!B24</f>
        <v>0</v>
      </c>
      <c r="C73" s="9">
        <f>'System Parameters'!C24</f>
        <v>0</v>
      </c>
      <c r="D73" s="9">
        <f t="shared" si="1"/>
        <v>0</v>
      </c>
      <c r="E73" s="9">
        <f t="shared" si="3"/>
        <v>0</v>
      </c>
      <c r="F73" s="9">
        <f t="shared" si="7"/>
        <v>0</v>
      </c>
      <c r="G73" s="9">
        <f t="shared" si="12"/>
        <v>0</v>
      </c>
      <c r="H73" s="9">
        <f t="shared" si="14"/>
        <v>0</v>
      </c>
      <c r="I73" s="9">
        <f t="shared" si="16"/>
        <v>0</v>
      </c>
      <c r="J73" s="9">
        <f t="shared" si="20"/>
        <v>0</v>
      </c>
      <c r="K73" s="9">
        <f t="shared" si="22"/>
        <v>0</v>
      </c>
      <c r="L73" s="9">
        <f t="shared" ref="L73:O73" si="25">$B73</f>
        <v>0</v>
      </c>
      <c r="M73" s="9">
        <f t="shared" si="25"/>
        <v>0</v>
      </c>
      <c r="N73" s="9">
        <f t="shared" si="25"/>
        <v>0</v>
      </c>
      <c r="O73" s="9">
        <f t="shared" si="25"/>
        <v>0</v>
      </c>
      <c r="T73" s="9">
        <f>'System Parameters'!E24</f>
        <v>0</v>
      </c>
      <c r="U73" s="9">
        <f>'System Parameters'!F24</f>
        <v>0</v>
      </c>
      <c r="V73" s="9">
        <f>'System Parameters'!G24</f>
        <v>0</v>
      </c>
      <c r="W73" s="9">
        <f>'System Parameters'!H24</f>
        <v>0</v>
      </c>
    </row>
    <row r="74" spans="1:23" ht="13" x14ac:dyDescent="0.15">
      <c r="A74" s="9" t="str">
        <f>'System Parameters'!A26</f>
        <v>Standby Power</v>
      </c>
      <c r="B74" s="13">
        <f>'System Parameters'!B26</f>
        <v>37</v>
      </c>
      <c r="C74" s="9" t="str">
        <f>'System Parameters'!C26</f>
        <v>mW</v>
      </c>
      <c r="D74" s="13">
        <f t="shared" si="1"/>
        <v>37</v>
      </c>
      <c r="E74" s="13">
        <f t="shared" si="3"/>
        <v>37</v>
      </c>
      <c r="F74" s="13">
        <f t="shared" si="7"/>
        <v>37</v>
      </c>
      <c r="G74" s="13">
        <f t="shared" si="12"/>
        <v>37</v>
      </c>
      <c r="H74" s="13">
        <f t="shared" si="14"/>
        <v>37</v>
      </c>
      <c r="I74" s="13">
        <f t="shared" si="16"/>
        <v>37</v>
      </c>
      <c r="J74" s="13">
        <f t="shared" si="20"/>
        <v>37</v>
      </c>
      <c r="K74" s="13">
        <f t="shared" si="22"/>
        <v>37</v>
      </c>
      <c r="L74" s="13">
        <f t="shared" ref="L74:L76" si="26">$B74</f>
        <v>37</v>
      </c>
      <c r="M74" s="9">
        <f>$B74*0.9</f>
        <v>33.300000000000004</v>
      </c>
      <c r="N74" s="13">
        <f t="shared" ref="N74:O74" si="27">$B74</f>
        <v>37</v>
      </c>
      <c r="O74" s="13">
        <f t="shared" si="27"/>
        <v>37</v>
      </c>
      <c r="T74" s="22">
        <f>'System Parameters'!E26</f>
        <v>0</v>
      </c>
      <c r="U74" s="22">
        <f>'System Parameters'!F26</f>
        <v>0.996</v>
      </c>
      <c r="V74" s="22">
        <f>'System Parameters'!G26</f>
        <v>0.98</v>
      </c>
      <c r="W74" s="9">
        <f>'System Parameters'!H26</f>
        <v>0</v>
      </c>
    </row>
    <row r="75" spans="1:23" ht="13" x14ac:dyDescent="0.15">
      <c r="A75" s="9" t="str">
        <f>'System Parameters'!A27</f>
        <v>TX Power</v>
      </c>
      <c r="B75" s="13">
        <f>'System Parameters'!B27</f>
        <v>280</v>
      </c>
      <c r="C75" s="9" t="str">
        <f>'System Parameters'!C27</f>
        <v>mW</v>
      </c>
      <c r="D75" s="13">
        <f t="shared" si="1"/>
        <v>280</v>
      </c>
      <c r="E75" s="13">
        <f t="shared" si="3"/>
        <v>280</v>
      </c>
      <c r="F75" s="13">
        <f t="shared" si="7"/>
        <v>280</v>
      </c>
      <c r="G75" s="13">
        <f t="shared" si="12"/>
        <v>280</v>
      </c>
      <c r="H75" s="13">
        <f t="shared" si="14"/>
        <v>280</v>
      </c>
      <c r="I75" s="13">
        <f t="shared" si="16"/>
        <v>280</v>
      </c>
      <c r="J75" s="13">
        <f t="shared" si="20"/>
        <v>280</v>
      </c>
      <c r="K75" s="13">
        <f t="shared" si="22"/>
        <v>280</v>
      </c>
      <c r="L75" s="13">
        <f t="shared" si="26"/>
        <v>280</v>
      </c>
      <c r="M75" s="13">
        <f t="shared" ref="M75:M76" si="28">$B75</f>
        <v>280</v>
      </c>
      <c r="N75" s="9">
        <f>$B75*0.9</f>
        <v>252</v>
      </c>
      <c r="O75" s="13">
        <f>$B75</f>
        <v>280</v>
      </c>
      <c r="T75" s="22">
        <f>'System Parameters'!E27</f>
        <v>0</v>
      </c>
      <c r="U75" s="22">
        <f>'System Parameters'!F27</f>
        <v>2E-3</v>
      </c>
      <c r="V75" s="22">
        <f>'System Parameters'!G27</f>
        <v>0.01</v>
      </c>
      <c r="W75" s="9">
        <f>'System Parameters'!H27</f>
        <v>0</v>
      </c>
    </row>
    <row r="76" spans="1:23" ht="13" x14ac:dyDescent="0.15">
      <c r="A76" s="9" t="str">
        <f>'System Parameters'!A28</f>
        <v>RX Power</v>
      </c>
      <c r="B76" s="13">
        <f>'System Parameters'!B28</f>
        <v>150</v>
      </c>
      <c r="C76" s="9" t="str">
        <f>'System Parameters'!C28</f>
        <v>mW</v>
      </c>
      <c r="D76" s="13">
        <f t="shared" si="1"/>
        <v>150</v>
      </c>
      <c r="E76" s="13">
        <f t="shared" si="3"/>
        <v>150</v>
      </c>
      <c r="F76" s="13">
        <f t="shared" si="7"/>
        <v>150</v>
      </c>
      <c r="G76" s="13">
        <f t="shared" si="12"/>
        <v>150</v>
      </c>
      <c r="H76" s="13">
        <f t="shared" si="14"/>
        <v>150</v>
      </c>
      <c r="I76" s="13">
        <f t="shared" si="16"/>
        <v>150</v>
      </c>
      <c r="J76" s="13">
        <f t="shared" si="20"/>
        <v>150</v>
      </c>
      <c r="K76" s="13">
        <f t="shared" si="22"/>
        <v>150</v>
      </c>
      <c r="L76" s="13">
        <f t="shared" si="26"/>
        <v>150</v>
      </c>
      <c r="M76" s="13">
        <f t="shared" si="28"/>
        <v>150</v>
      </c>
      <c r="N76" s="13">
        <f>$B76</f>
        <v>150</v>
      </c>
      <c r="O76" s="9">
        <f>$B76*0.9</f>
        <v>135</v>
      </c>
      <c r="T76" s="22">
        <f>'System Parameters'!E28</f>
        <v>0</v>
      </c>
      <c r="U76" s="22">
        <f>'System Parameters'!F28</f>
        <v>2E-3</v>
      </c>
      <c r="V76" s="22">
        <f>'System Parameters'!G28</f>
        <v>0.01</v>
      </c>
      <c r="W76" s="9">
        <f>'System Parameters'!H28</f>
        <v>0</v>
      </c>
    </row>
    <row r="77" spans="1:23" ht="13" x14ac:dyDescent="0.15">
      <c r="A77" s="9">
        <f>'System Parameters'!A29</f>
        <v>0</v>
      </c>
      <c r="B77" s="9">
        <f>'System Parameters'!B29</f>
        <v>0</v>
      </c>
      <c r="C77" s="9">
        <f>'System Parameters'!C29</f>
        <v>0</v>
      </c>
      <c r="D77" s="9">
        <f>'System Parameters'!D29</f>
        <v>0</v>
      </c>
      <c r="T77" s="9">
        <f>'System Parameters'!E29</f>
        <v>0</v>
      </c>
      <c r="U77" s="9">
        <f>'System Parameters'!F29</f>
        <v>0</v>
      </c>
      <c r="V77" s="9">
        <f>'System Parameters'!G29</f>
        <v>0</v>
      </c>
      <c r="W77" s="9">
        <f>'System Parameters'!H29</f>
        <v>0</v>
      </c>
    </row>
    <row r="78" spans="1:23" ht="13" x14ac:dyDescent="0.15">
      <c r="A78" s="9">
        <f>'System Parameters'!A30</f>
        <v>0</v>
      </c>
      <c r="B78" s="9">
        <f>'System Parameters'!B30</f>
        <v>0</v>
      </c>
      <c r="C78" s="9">
        <f>'System Parameters'!C30</f>
        <v>0</v>
      </c>
      <c r="D78" s="9">
        <f>'System Parameters'!D30</f>
        <v>0</v>
      </c>
      <c r="T78" s="9">
        <f>'System Parameters'!E30</f>
        <v>20</v>
      </c>
      <c r="U78" s="9">
        <f>'System Parameters'!F30</f>
        <v>3</v>
      </c>
      <c r="V78" s="9">
        <f>'System Parameters'!G30</f>
        <v>1</v>
      </c>
      <c r="W78" s="9" t="str">
        <f>'System Parameters'!H30</f>
        <v>hours/day typical usage</v>
      </c>
    </row>
    <row r="79" spans="1:23" ht="13" x14ac:dyDescent="0.15">
      <c r="A79" s="9" t="str">
        <f>'System Parameters'!A31</f>
        <v>Battery</v>
      </c>
      <c r="B79" s="9">
        <f>'System Parameters'!B31</f>
        <v>0</v>
      </c>
      <c r="C79" s="9">
        <f>'System Parameters'!C31</f>
        <v>0</v>
      </c>
      <c r="D79" s="9">
        <f>'System Parameters'!D31</f>
        <v>0</v>
      </c>
      <c r="T79" s="9">
        <f>'System Parameters'!E31</f>
        <v>0</v>
      </c>
      <c r="U79" s="9">
        <f>'System Parameters'!F31</f>
        <v>0</v>
      </c>
      <c r="V79" s="9">
        <f>'System Parameters'!G31</f>
        <v>0</v>
      </c>
      <c r="W79" s="9">
        <f>'System Parameters'!H31</f>
        <v>0</v>
      </c>
    </row>
    <row r="80" spans="1:23" ht="13" x14ac:dyDescent="0.15">
      <c r="A80" s="9" t="str">
        <f>'System Parameters'!A32</f>
        <v>Capacity</v>
      </c>
      <c r="B80" s="13">
        <f>'System Parameters'!B32</f>
        <v>1000</v>
      </c>
      <c r="C80" s="9" t="str">
        <f>'System Parameters'!C32</f>
        <v>mAh</v>
      </c>
      <c r="D80" s="9">
        <f>'System Parameters'!D32</f>
        <v>0</v>
      </c>
      <c r="T80" s="9">
        <f>'System Parameters'!E32</f>
        <v>0</v>
      </c>
      <c r="U80" s="9">
        <f>'System Parameters'!F32</f>
        <v>0</v>
      </c>
      <c r="V80" s="9">
        <f>'System Parameters'!G32</f>
        <v>0</v>
      </c>
      <c r="W80" s="9">
        <f>'System Parameters'!H32</f>
        <v>0</v>
      </c>
    </row>
    <row r="81" spans="1:23" ht="13" x14ac:dyDescent="0.15">
      <c r="A81" s="9" t="str">
        <f>'System Parameters'!A33</f>
        <v>Nominal Voltage</v>
      </c>
      <c r="B81" s="13">
        <f>'System Parameters'!B33</f>
        <v>3.7</v>
      </c>
      <c r="C81" s="9" t="str">
        <f>'System Parameters'!C33</f>
        <v>V</v>
      </c>
      <c r="D81" s="9">
        <f>'System Parameters'!D33</f>
        <v>0</v>
      </c>
      <c r="T81" s="9">
        <f>'System Parameters'!E33</f>
        <v>0</v>
      </c>
      <c r="U81" s="9">
        <f>'System Parameters'!F33</f>
        <v>0</v>
      </c>
      <c r="V81" s="9">
        <f>'System Parameters'!G33</f>
        <v>0</v>
      </c>
      <c r="W81" s="9">
        <f>'System Parameters'!H33</f>
        <v>0</v>
      </c>
    </row>
    <row r="82" spans="1:23" ht="13" x14ac:dyDescent="0.15">
      <c r="A82" s="9" t="str">
        <f>'System Parameters'!A34</f>
        <v>Regulator Efficiency</v>
      </c>
      <c r="B82" s="22">
        <f>'System Parameters'!B34</f>
        <v>0.99</v>
      </c>
      <c r="C82" s="9">
        <f>'System Parameters'!C34</f>
        <v>0</v>
      </c>
      <c r="D82" s="9">
        <f>'System Parameters'!D34</f>
        <v>0</v>
      </c>
      <c r="T82" s="9">
        <f>'System Parameters'!E34</f>
        <v>0</v>
      </c>
      <c r="U82" s="9">
        <f>'System Parameters'!F34</f>
        <v>0</v>
      </c>
      <c r="V82" s="9">
        <f>'System Parameters'!G34</f>
        <v>0</v>
      </c>
      <c r="W82" s="9">
        <f>'System Parameters'!H34</f>
        <v>0</v>
      </c>
    </row>
    <row r="83" spans="1:23" ht="13" x14ac:dyDescent="0.15">
      <c r="A83" s="9">
        <f>'System Parameters'!A35</f>
        <v>0</v>
      </c>
      <c r="B83" s="9">
        <f>'System Parameters'!B35</f>
        <v>0</v>
      </c>
      <c r="C83" s="9">
        <f>'System Parameters'!C35</f>
        <v>0</v>
      </c>
      <c r="D83" s="9">
        <f>'System Parameters'!D35</f>
        <v>0</v>
      </c>
      <c r="O83" s="9">
        <f>'System Parameters'!E35</f>
        <v>0</v>
      </c>
      <c r="P83" s="9">
        <f>'System Parameters'!F35</f>
        <v>0</v>
      </c>
      <c r="Q83" s="9">
        <f>'System Parameters'!G35</f>
        <v>0</v>
      </c>
      <c r="R83" s="9">
        <f>'System Parameters'!H35</f>
        <v>0</v>
      </c>
      <c r="S83" s="9">
        <f>'System Parameters'!I35</f>
        <v>0</v>
      </c>
      <c r="T83" s="9">
        <f>'System Parameters'!J35</f>
        <v>0</v>
      </c>
      <c r="U83" s="9" t="e">
        <f t="shared" ref="U83:V83" si="29">#REF!</f>
        <v>#REF!</v>
      </c>
      <c r="V83" s="9" t="e">
        <f t="shared" si="29"/>
        <v>#REF!</v>
      </c>
    </row>
    <row r="84" spans="1:23" ht="13" x14ac:dyDescent="0.15">
      <c r="A84" s="9">
        <f>'System Parameters'!A36</f>
        <v>0</v>
      </c>
      <c r="B84" s="9">
        <f>'System Parameters'!B36</f>
        <v>0</v>
      </c>
      <c r="C84" s="9">
        <f>'System Parameters'!C36</f>
        <v>0</v>
      </c>
      <c r="D84" s="9">
        <f>'System Parameters'!D36</f>
        <v>0</v>
      </c>
      <c r="O84" s="9">
        <f>'System Parameters'!E36</f>
        <v>0</v>
      </c>
      <c r="P84" s="9">
        <f>'System Parameters'!F36</f>
        <v>0</v>
      </c>
      <c r="Q84" s="9">
        <f>'System Parameters'!G36</f>
        <v>0</v>
      </c>
      <c r="R84" s="9">
        <f>'System Parameters'!H36</f>
        <v>0</v>
      </c>
      <c r="S84" s="9">
        <f>'System Parameters'!I36</f>
        <v>0</v>
      </c>
      <c r="T84" s="9">
        <f>'System Parameters'!J36</f>
        <v>0</v>
      </c>
      <c r="U84" s="9" t="e">
        <f t="shared" ref="U84:V84" si="30">#REF!</f>
        <v>#REF!</v>
      </c>
      <c r="V84" s="9" t="e">
        <f t="shared" si="30"/>
        <v>#REF!</v>
      </c>
    </row>
    <row r="85" spans="1:23" ht="13" x14ac:dyDescent="0.15">
      <c r="A85" s="9">
        <f>'System Parameters'!A37</f>
        <v>0</v>
      </c>
      <c r="B85" s="9">
        <f>'System Parameters'!K24</f>
        <v>0</v>
      </c>
      <c r="C85" s="9">
        <f>'System Parameters'!L24</f>
        <v>0</v>
      </c>
      <c r="D85" s="9">
        <f>'System Parameters'!M24</f>
        <v>0</v>
      </c>
      <c r="O85" s="9">
        <f>'System Parameters'!N24</f>
        <v>0</v>
      </c>
      <c r="P85" s="9">
        <f>'System Parameters'!O24</f>
        <v>0</v>
      </c>
      <c r="Q85" s="9">
        <f>'System Parameters'!P24</f>
        <v>0</v>
      </c>
      <c r="R85" s="9">
        <f>'System Parameters'!Q24</f>
        <v>0</v>
      </c>
      <c r="S85" s="9">
        <f>'System Parameters'!I37</f>
        <v>0</v>
      </c>
      <c r="T85" s="9">
        <f>'System Parameters'!J37</f>
        <v>0</v>
      </c>
      <c r="U85" s="9" t="e">
        <f t="shared" ref="U85:V85" si="31">#REF!</f>
        <v>#REF!</v>
      </c>
      <c r="V85" s="9" t="e">
        <f t="shared" si="31"/>
        <v>#REF!</v>
      </c>
    </row>
    <row r="86" spans="1:23" ht="13" x14ac:dyDescent="0.15">
      <c r="A86" s="9" t="str">
        <f>'System Parameters'!A38</f>
        <v xml:space="preserve">REFLECTIONS : WHAT DID YOU LEARN FROM ANALYZING YOUR POWER.  TALK ABOUT SOME POTENTIAL TRADEOFFS. </v>
      </c>
      <c r="B86" s="9">
        <f>'System Parameters'!K25</f>
        <v>0</v>
      </c>
      <c r="C86" s="9" t="e">
        <f t="shared" ref="C86:D86" si="32">#REF!</f>
        <v>#REF!</v>
      </c>
      <c r="D86" s="9" t="e">
        <f t="shared" si="32"/>
        <v>#REF!</v>
      </c>
      <c r="O86" s="9" t="e">
        <f t="shared" ref="O86:Q86" si="33">#REF!</f>
        <v>#REF!</v>
      </c>
      <c r="P86" s="9" t="e">
        <f t="shared" si="33"/>
        <v>#REF!</v>
      </c>
      <c r="Q86" s="9" t="e">
        <f t="shared" si="33"/>
        <v>#REF!</v>
      </c>
      <c r="R86" s="9">
        <f>'System Parameters'!Q25</f>
        <v>0</v>
      </c>
      <c r="S86" s="9">
        <f>'System Parameters'!I38</f>
        <v>0</v>
      </c>
      <c r="T86" s="9">
        <f>'System Parameters'!J38</f>
        <v>0</v>
      </c>
      <c r="U86" s="9" t="e">
        <f t="shared" ref="U86:V86" si="34">#REF!</f>
        <v>#REF!</v>
      </c>
      <c r="V86" s="9" t="e">
        <f t="shared" si="34"/>
        <v>#REF!</v>
      </c>
    </row>
    <row r="87" spans="1:23" ht="13" x14ac:dyDescent="0.15">
      <c r="A87" s="9" t="str">
        <f>'System Parameters'!L25</f>
        <v>Total power in profile (mw)</v>
      </c>
      <c r="B87" s="9">
        <f>'System Parameters'!M25</f>
        <v>0</v>
      </c>
      <c r="C87" s="9">
        <f>'System Parameters'!N25</f>
        <v>0</v>
      </c>
      <c r="R87" s="9">
        <f>'System Parameters'!Q26</f>
        <v>0</v>
      </c>
      <c r="S87" s="9">
        <f>'System Parameters'!I39</f>
        <v>0</v>
      </c>
      <c r="T87" s="9">
        <f>'System Parameters'!J39</f>
        <v>0</v>
      </c>
      <c r="U87" s="9">
        <f>'System Parameters'!K39</f>
        <v>0</v>
      </c>
      <c r="V87" s="9">
        <f>'System Parameters'!L39</f>
        <v>0</v>
      </c>
    </row>
    <row r="88" spans="1:23" ht="13" x14ac:dyDescent="0.15">
      <c r="A88" s="9" t="str">
        <f>'System Parameters'!L26</f>
        <v>"off"</v>
      </c>
      <c r="B88" s="9">
        <f>SUMPRODUCT(B56:B76, $T56:$T76)</f>
        <v>0.16300000000000001</v>
      </c>
      <c r="C88" s="9" t="str">
        <f>'System Parameters'!N26</f>
        <v>mW</v>
      </c>
      <c r="D88" s="9">
        <f t="shared" ref="D88:O88" si="35">SUMPRODUCT(D56:D76, $T56:$T76)</f>
        <v>0.16300000000000001</v>
      </c>
      <c r="E88" s="9">
        <f t="shared" si="35"/>
        <v>0.16300000000000001</v>
      </c>
      <c r="F88" s="9">
        <f t="shared" si="35"/>
        <v>0.1467</v>
      </c>
      <c r="G88" s="9">
        <f t="shared" si="35"/>
        <v>0.16300000000000001</v>
      </c>
      <c r="H88" s="9">
        <f t="shared" si="35"/>
        <v>0.16300000000000001</v>
      </c>
      <c r="I88" s="9">
        <f t="shared" si="35"/>
        <v>0.16300000000000001</v>
      </c>
      <c r="J88" s="9">
        <f t="shared" si="35"/>
        <v>0.16300000000000001</v>
      </c>
      <c r="K88" s="9">
        <f t="shared" si="35"/>
        <v>0.16300000000000001</v>
      </c>
      <c r="L88" s="9">
        <f t="shared" si="35"/>
        <v>0.16300000000000001</v>
      </c>
      <c r="M88" s="9">
        <f t="shared" si="35"/>
        <v>0.16300000000000001</v>
      </c>
      <c r="N88" s="9">
        <f t="shared" si="35"/>
        <v>0.16300000000000001</v>
      </c>
      <c r="O88" s="9">
        <f t="shared" si="35"/>
        <v>0.16300000000000001</v>
      </c>
      <c r="R88" s="9">
        <f>'System Parameters'!Q27</f>
        <v>0</v>
      </c>
      <c r="S88" s="9">
        <f>'System Parameters'!I40</f>
        <v>0</v>
      </c>
      <c r="T88" s="9">
        <f>'System Parameters'!J40</f>
        <v>0</v>
      </c>
      <c r="U88" s="9">
        <f>'System Parameters'!K40</f>
        <v>0</v>
      </c>
      <c r="V88" s="9">
        <f>'System Parameters'!L40</f>
        <v>0</v>
      </c>
    </row>
    <row r="89" spans="1:23" ht="13" x14ac:dyDescent="0.15">
      <c r="A89" s="9" t="str">
        <f>'System Parameters'!L27</f>
        <v>"sensing"</v>
      </c>
      <c r="B89" s="9">
        <f>SUMPRODUCT(B56:B76,$U56:$U76)</f>
        <v>93.337000000000003</v>
      </c>
      <c r="C89" s="9" t="str">
        <f>'System Parameters'!N27</f>
        <v>mW</v>
      </c>
      <c r="D89" s="9">
        <f t="shared" ref="D89:O89" si="36">SUMPRODUCT(D56:D76,$U56:$U76)</f>
        <v>91.9495</v>
      </c>
      <c r="E89" s="9">
        <f t="shared" si="36"/>
        <v>89.822000000000003</v>
      </c>
      <c r="F89" s="9">
        <f t="shared" si="36"/>
        <v>93.337000000000003</v>
      </c>
      <c r="G89" s="9">
        <f t="shared" si="36"/>
        <v>93.337000000000003</v>
      </c>
      <c r="H89" s="9">
        <f t="shared" si="36"/>
        <v>92.676999999999992</v>
      </c>
      <c r="I89" s="9">
        <f t="shared" si="36"/>
        <v>93.337000000000003</v>
      </c>
      <c r="J89" s="9">
        <f t="shared" si="36"/>
        <v>93.337000000000003</v>
      </c>
      <c r="K89" s="9">
        <f t="shared" si="36"/>
        <v>93.337000000000003</v>
      </c>
      <c r="L89" s="9">
        <f t="shared" si="36"/>
        <v>93.337000000000003</v>
      </c>
      <c r="M89" s="9">
        <f t="shared" si="36"/>
        <v>89.651799999999994</v>
      </c>
      <c r="N89" s="9">
        <f t="shared" si="36"/>
        <v>93.281000000000006</v>
      </c>
      <c r="O89" s="9">
        <f t="shared" si="36"/>
        <v>93.307000000000002</v>
      </c>
      <c r="R89" s="9">
        <f>'System Parameters'!Q28</f>
        <v>0</v>
      </c>
      <c r="S89" s="9">
        <f>'System Parameters'!I41</f>
        <v>0</v>
      </c>
      <c r="T89" s="9">
        <f>'System Parameters'!J41</f>
        <v>0</v>
      </c>
      <c r="U89" s="9">
        <f>'System Parameters'!K41</f>
        <v>0</v>
      </c>
      <c r="V89" s="9">
        <f>'System Parameters'!L41</f>
        <v>0</v>
      </c>
    </row>
    <row r="90" spans="1:23" ht="13" x14ac:dyDescent="0.15">
      <c r="A90" s="9" t="str">
        <f>'System Parameters'!L28</f>
        <v>"interactive"</v>
      </c>
      <c r="B90" s="9">
        <f>SUMPRODUCT(B56:B76, $V56:$V76)</f>
        <v>156.31</v>
      </c>
      <c r="C90" s="9" t="str">
        <f>'System Parameters'!N28</f>
        <v>mW</v>
      </c>
      <c r="D90" s="9">
        <f t="shared" ref="D90:O90" si="37">SUMPRODUCT(D56:D76, $V56:$V76)</f>
        <v>147.98499999999999</v>
      </c>
      <c r="E90" s="9">
        <f t="shared" si="37"/>
        <v>153.72</v>
      </c>
      <c r="F90" s="9">
        <f t="shared" si="37"/>
        <v>156.31</v>
      </c>
      <c r="G90" s="9">
        <f t="shared" si="37"/>
        <v>156.31</v>
      </c>
      <c r="H90" s="9">
        <f t="shared" si="37"/>
        <v>155.65</v>
      </c>
      <c r="I90" s="9">
        <f t="shared" si="37"/>
        <v>156.31</v>
      </c>
      <c r="J90" s="9">
        <f t="shared" si="37"/>
        <v>156.31</v>
      </c>
      <c r="K90" s="9">
        <f t="shared" si="37"/>
        <v>156.31</v>
      </c>
      <c r="L90" s="9">
        <f t="shared" si="37"/>
        <v>156.31</v>
      </c>
      <c r="M90" s="9">
        <f t="shared" si="37"/>
        <v>152.68400000000003</v>
      </c>
      <c r="N90" s="9">
        <f t="shared" si="37"/>
        <v>156.03</v>
      </c>
      <c r="O90" s="9">
        <f t="shared" si="37"/>
        <v>156.16</v>
      </c>
      <c r="R90" s="9">
        <f>'System Parameters'!Q29</f>
        <v>0</v>
      </c>
      <c r="S90" s="9">
        <f>'System Parameters'!I42</f>
        <v>0</v>
      </c>
      <c r="T90" s="9">
        <f>'System Parameters'!J42</f>
        <v>0</v>
      </c>
      <c r="U90" s="9">
        <f>'System Parameters'!K42</f>
        <v>0</v>
      </c>
      <c r="V90" s="9">
        <f>'System Parameters'!L42</f>
        <v>0</v>
      </c>
    </row>
    <row r="91" spans="1:23" ht="13" x14ac:dyDescent="0.15">
      <c r="A91" s="9">
        <f>'System Parameters'!L29</f>
        <v>0</v>
      </c>
      <c r="B91" s="9">
        <f>'System Parameters'!M29</f>
        <v>0</v>
      </c>
      <c r="C91" s="9">
        <f>'System Parameters'!N29</f>
        <v>0</v>
      </c>
      <c r="D91" s="9">
        <f>'System Parameters'!O29</f>
        <v>0</v>
      </c>
      <c r="E91" s="9">
        <f>'System Parameters'!P29</f>
        <v>0</v>
      </c>
      <c r="F91" s="9">
        <f>'System Parameters'!Q30</f>
        <v>0</v>
      </c>
      <c r="G91" s="9">
        <f>'System Parameters'!I43</f>
        <v>0</v>
      </c>
      <c r="H91" s="9">
        <f>'System Parameters'!J43</f>
        <v>0</v>
      </c>
      <c r="I91" s="9">
        <f>'System Parameters'!K43</f>
        <v>0</v>
      </c>
      <c r="J91" s="9">
        <f>'System Parameters'!L43</f>
        <v>0</v>
      </c>
      <c r="K91" s="9">
        <f>'System Parameters'!M43</f>
        <v>0</v>
      </c>
      <c r="L91" s="9">
        <f>'System Parameters'!N43</f>
        <v>0</v>
      </c>
      <c r="M91" s="9">
        <f>'System Parameters'!O43</f>
        <v>0</v>
      </c>
      <c r="N91" s="9">
        <f>'System Parameters'!P43</f>
        <v>0</v>
      </c>
      <c r="O91" s="9">
        <f>'System Parameters'!Q43</f>
        <v>0</v>
      </c>
      <c r="R91" s="9">
        <f>'System Parameters'!Q30</f>
        <v>0</v>
      </c>
      <c r="S91" s="9">
        <f>'System Parameters'!I43</f>
        <v>0</v>
      </c>
      <c r="T91" s="9">
        <f>'System Parameters'!J43</f>
        <v>0</v>
      </c>
      <c r="U91" s="9">
        <f>'System Parameters'!K43</f>
        <v>0</v>
      </c>
      <c r="V91" s="9">
        <f>'System Parameters'!L43</f>
        <v>0</v>
      </c>
    </row>
    <row r="92" spans="1:23" ht="13" x14ac:dyDescent="0.15">
      <c r="A92" s="9" t="str">
        <f>'System Parameters'!L30</f>
        <v>Effective Battery Capacity</v>
      </c>
      <c r="B92" s="9">
        <f>'System Parameters'!M30</f>
        <v>0</v>
      </c>
      <c r="C92" s="9">
        <f>'System Parameters'!N30</f>
        <v>0</v>
      </c>
      <c r="D92" s="9">
        <f>'System Parameters'!O30</f>
        <v>0</v>
      </c>
      <c r="E92" s="9">
        <f>'System Parameters'!P30</f>
        <v>0</v>
      </c>
      <c r="F92" s="9">
        <f>'System Parameters'!Q31</f>
        <v>0</v>
      </c>
      <c r="G92" s="9">
        <f>'System Parameters'!I44</f>
        <v>0</v>
      </c>
      <c r="H92" s="9">
        <f>'System Parameters'!J44</f>
        <v>0</v>
      </c>
      <c r="I92" s="9">
        <f>'System Parameters'!K44</f>
        <v>0</v>
      </c>
      <c r="J92" s="9">
        <f>'System Parameters'!L44</f>
        <v>0</v>
      </c>
      <c r="K92" s="9">
        <f>'System Parameters'!M44</f>
        <v>0</v>
      </c>
      <c r="L92" s="9">
        <f>'System Parameters'!N44</f>
        <v>0</v>
      </c>
      <c r="M92" s="9">
        <f>'System Parameters'!O44</f>
        <v>0</v>
      </c>
      <c r="N92" s="9">
        <f>'System Parameters'!P44</f>
        <v>0</v>
      </c>
      <c r="O92" s="9">
        <f>'System Parameters'!Q44</f>
        <v>0</v>
      </c>
      <c r="P92" s="9">
        <f>'System Parameters'!O30</f>
        <v>0</v>
      </c>
      <c r="Q92" s="9">
        <f>'System Parameters'!P30</f>
        <v>0</v>
      </c>
      <c r="R92" s="9">
        <f>'System Parameters'!Q31</f>
        <v>0</v>
      </c>
      <c r="S92" s="9">
        <f>'System Parameters'!I44</f>
        <v>0</v>
      </c>
      <c r="T92" s="9">
        <f>'System Parameters'!J44</f>
        <v>0</v>
      </c>
      <c r="U92" s="9">
        <f>'System Parameters'!K44</f>
        <v>0</v>
      </c>
      <c r="V92" s="9">
        <f>'System Parameters'!L44</f>
        <v>0</v>
      </c>
    </row>
    <row r="93" spans="1:23" ht="13" x14ac:dyDescent="0.15">
      <c r="A93" s="9">
        <f>'System Parameters'!L31</f>
        <v>0</v>
      </c>
      <c r="B93" s="9">
        <f>B80*B81*B82</f>
        <v>3663</v>
      </c>
      <c r="C93" s="9" t="str">
        <f>'System Parameters'!N31</f>
        <v>mW*h</v>
      </c>
      <c r="D93" s="9">
        <f t="shared" ref="D93:O93" si="38">$B93</f>
        <v>3663</v>
      </c>
      <c r="E93" s="9">
        <f t="shared" si="38"/>
        <v>3663</v>
      </c>
      <c r="F93" s="9">
        <f t="shared" si="38"/>
        <v>3663</v>
      </c>
      <c r="G93" s="9">
        <f t="shared" si="38"/>
        <v>3663</v>
      </c>
      <c r="H93" s="9">
        <f t="shared" si="38"/>
        <v>3663</v>
      </c>
      <c r="I93" s="9">
        <f t="shared" si="38"/>
        <v>3663</v>
      </c>
      <c r="J93" s="9">
        <f t="shared" si="38"/>
        <v>3663</v>
      </c>
      <c r="K93" s="9">
        <f t="shared" si="38"/>
        <v>3663</v>
      </c>
      <c r="L93" s="9">
        <f t="shared" si="38"/>
        <v>3663</v>
      </c>
      <c r="M93" s="9">
        <f t="shared" si="38"/>
        <v>3663</v>
      </c>
      <c r="N93" s="9">
        <f t="shared" si="38"/>
        <v>3663</v>
      </c>
      <c r="O93" s="9">
        <f t="shared" si="38"/>
        <v>3663</v>
      </c>
      <c r="P93" s="9">
        <f>'System Parameters'!O31</f>
        <v>0</v>
      </c>
      <c r="Q93" s="9">
        <f>'System Parameters'!P31</f>
        <v>0</v>
      </c>
      <c r="R93" s="9">
        <f>'System Parameters'!Q32</f>
        <v>0</v>
      </c>
      <c r="S93" s="9">
        <f>'System Parameters'!I45</f>
        <v>0</v>
      </c>
      <c r="T93" s="9">
        <f>'System Parameters'!J45</f>
        <v>0</v>
      </c>
      <c r="U93" s="9">
        <f>'System Parameters'!K45</f>
        <v>0</v>
      </c>
      <c r="V93" s="9">
        <f>'System Parameters'!L45</f>
        <v>0</v>
      </c>
    </row>
    <row r="94" spans="1:23" ht="13" x14ac:dyDescent="0.15">
      <c r="A94" s="9">
        <f>'System Parameters'!L32</f>
        <v>0</v>
      </c>
      <c r="B94" s="9">
        <f>'System Parameters'!M32</f>
        <v>0</v>
      </c>
      <c r="C94" s="9">
        <f>'System Parameters'!N32</f>
        <v>0</v>
      </c>
      <c r="D94" s="9">
        <f>'System Parameters'!O32</f>
        <v>0</v>
      </c>
      <c r="E94" s="9">
        <f>'System Parameters'!P32</f>
        <v>0</v>
      </c>
      <c r="F94" s="9">
        <f>'System Parameters'!Q33</f>
        <v>0</v>
      </c>
      <c r="G94" s="9">
        <f>'System Parameters'!I46</f>
        <v>0</v>
      </c>
      <c r="H94" s="9">
        <f>'System Parameters'!J46</f>
        <v>0</v>
      </c>
      <c r="I94" s="9">
        <f>'System Parameters'!K46</f>
        <v>0</v>
      </c>
      <c r="J94" s="9">
        <f>'System Parameters'!L46</f>
        <v>0</v>
      </c>
      <c r="K94" s="9">
        <f>'System Parameters'!M46</f>
        <v>0</v>
      </c>
      <c r="L94" s="9">
        <f>'System Parameters'!N46</f>
        <v>0</v>
      </c>
      <c r="M94" s="9">
        <f>'System Parameters'!O46</f>
        <v>0</v>
      </c>
      <c r="N94" s="9">
        <f>'System Parameters'!P46</f>
        <v>0</v>
      </c>
      <c r="O94" s="9">
        <f>'System Parameters'!Q46</f>
        <v>0</v>
      </c>
      <c r="P94" s="9">
        <f>'System Parameters'!O32</f>
        <v>0</v>
      </c>
      <c r="Q94" s="9">
        <f>'System Parameters'!P32</f>
        <v>0</v>
      </c>
      <c r="R94" s="9">
        <f>'System Parameters'!Q33</f>
        <v>0</v>
      </c>
      <c r="S94" s="9">
        <f>'System Parameters'!I46</f>
        <v>0</v>
      </c>
      <c r="T94" s="9">
        <f>'System Parameters'!J46</f>
        <v>0</v>
      </c>
      <c r="U94" s="9">
        <f>'System Parameters'!K46</f>
        <v>0</v>
      </c>
      <c r="V94" s="9">
        <f>'System Parameters'!L46</f>
        <v>0</v>
      </c>
    </row>
    <row r="95" spans="1:23" ht="13" x14ac:dyDescent="0.15">
      <c r="A95" s="9" t="str">
        <f>'System Parameters'!L33</f>
        <v>Days of Use</v>
      </c>
      <c r="B95" s="9">
        <f>B93/($T78*B88+$U78*B89+$V78*B90)</f>
        <v>8.3329352269547581</v>
      </c>
      <c r="C95" s="9" t="str">
        <f>'System Parameters'!N33</f>
        <v>days</v>
      </c>
      <c r="D95" s="9">
        <f t="shared" ref="D95:O95" si="39">D93/($T78*D88+$U78*D89+$V78*D90)</f>
        <v>8.5765763234514232</v>
      </c>
      <c r="E95" s="9">
        <f t="shared" si="39"/>
        <v>8.5895986830688997</v>
      </c>
      <c r="F95" s="9">
        <f t="shared" si="39"/>
        <v>8.3391196457638497</v>
      </c>
      <c r="G95" s="9">
        <f t="shared" si="39"/>
        <v>8.3329352269547581</v>
      </c>
      <c r="H95" s="9">
        <f t="shared" si="39"/>
        <v>8.383282868854149</v>
      </c>
      <c r="I95" s="9">
        <f t="shared" si="39"/>
        <v>8.3329352269547581</v>
      </c>
      <c r="J95" s="9">
        <f t="shared" si="39"/>
        <v>8.3329352269547581</v>
      </c>
      <c r="K95" s="9">
        <f t="shared" si="39"/>
        <v>8.3329352269547581</v>
      </c>
      <c r="L95" s="9">
        <f t="shared" si="39"/>
        <v>8.3329352269547581</v>
      </c>
      <c r="M95" s="9">
        <f t="shared" si="39"/>
        <v>8.6208641386643521</v>
      </c>
      <c r="N95" s="9">
        <f t="shared" si="39"/>
        <v>8.3414364213119931</v>
      </c>
      <c r="O95" s="9">
        <f t="shared" si="39"/>
        <v>8.3374872820884001</v>
      </c>
      <c r="P95" s="9">
        <f>'System Parameters'!O33</f>
        <v>0</v>
      </c>
      <c r="Q95" s="9">
        <f>'System Parameters'!P33</f>
        <v>0</v>
      </c>
      <c r="R95" s="9">
        <f>'System Parameters'!Q34</f>
        <v>0</v>
      </c>
      <c r="S95" s="9">
        <f>'System Parameters'!I47</f>
        <v>0</v>
      </c>
      <c r="T95" s="9">
        <f>'System Parameters'!J47</f>
        <v>0</v>
      </c>
      <c r="U95" s="9">
        <f>'System Parameters'!K47</f>
        <v>0</v>
      </c>
      <c r="V95" s="9">
        <f>'System Parameters'!L47</f>
        <v>0</v>
      </c>
    </row>
    <row r="96" spans="1:23" ht="13" x14ac:dyDescent="0.15">
      <c r="A96" s="9" t="str">
        <f>'System Parameters'!L34</f>
        <v>Hours of Use</v>
      </c>
      <c r="B96" s="9">
        <f>B95*24</f>
        <v>199.99044544691418</v>
      </c>
      <c r="C96" s="9" t="str">
        <f>'System Parameters'!N34</f>
        <v>hours</v>
      </c>
      <c r="D96" s="9">
        <f t="shared" ref="D96:O96" si="40">D95*24</f>
        <v>205.83783176283416</v>
      </c>
      <c r="E96" s="9">
        <f t="shared" si="40"/>
        <v>206.15036839365359</v>
      </c>
      <c r="F96" s="9">
        <f t="shared" si="40"/>
        <v>200.13887149833238</v>
      </c>
      <c r="G96" s="9">
        <f t="shared" si="40"/>
        <v>199.99044544691418</v>
      </c>
      <c r="H96" s="9">
        <f t="shared" si="40"/>
        <v>201.19878885249958</v>
      </c>
      <c r="I96" s="9">
        <f t="shared" si="40"/>
        <v>199.99044544691418</v>
      </c>
      <c r="J96" s="9">
        <f t="shared" si="40"/>
        <v>199.99044544691418</v>
      </c>
      <c r="K96" s="9">
        <f t="shared" si="40"/>
        <v>199.99044544691418</v>
      </c>
      <c r="L96" s="9">
        <f t="shared" si="40"/>
        <v>199.99044544691418</v>
      </c>
      <c r="M96" s="9">
        <f t="shared" si="40"/>
        <v>206.90073932794445</v>
      </c>
      <c r="N96" s="9">
        <f t="shared" si="40"/>
        <v>200.19447411148784</v>
      </c>
      <c r="O96" s="9">
        <f t="shared" si="40"/>
        <v>200.0996947701216</v>
      </c>
      <c r="P96" s="9">
        <f>'System Parameters'!O34</f>
        <v>0</v>
      </c>
      <c r="Q96" s="9">
        <f>'System Parameters'!P34</f>
        <v>0</v>
      </c>
      <c r="R96" s="9">
        <f>'System Parameters'!Q35</f>
        <v>0</v>
      </c>
      <c r="S96" s="9">
        <f>'System Parameters'!I48</f>
        <v>0</v>
      </c>
      <c r="T96" s="9">
        <f>'System Parameters'!J48</f>
        <v>0</v>
      </c>
      <c r="U96" s="9">
        <f>'System Parameters'!K48</f>
        <v>0</v>
      </c>
      <c r="V96" s="9">
        <f>'System Parameters'!L48</f>
        <v>0</v>
      </c>
    </row>
    <row r="97" spans="1:22" ht="13" x14ac:dyDescent="0.15">
      <c r="A97" s="9">
        <f>'System Parameters'!A49</f>
        <v>0</v>
      </c>
      <c r="B97" s="9">
        <f>'System Parameters'!K36</f>
        <v>0</v>
      </c>
      <c r="C97" s="9">
        <f>'System Parameters'!L36</f>
        <v>0</v>
      </c>
      <c r="D97" s="9">
        <f>'System Parameters'!M36</f>
        <v>0</v>
      </c>
      <c r="O97" s="9">
        <f>'System Parameters'!N36</f>
        <v>0</v>
      </c>
      <c r="P97" s="9">
        <f>'System Parameters'!O36</f>
        <v>0</v>
      </c>
      <c r="Q97" s="9">
        <f>'System Parameters'!P36</f>
        <v>0</v>
      </c>
      <c r="R97" s="9">
        <f>'System Parameters'!Q36</f>
        <v>0</v>
      </c>
      <c r="S97" s="9">
        <f>'System Parameters'!I49</f>
        <v>0</v>
      </c>
      <c r="T97" s="9">
        <f>'System Parameters'!J49</f>
        <v>0</v>
      </c>
      <c r="U97" s="9">
        <f>'System Parameters'!K49</f>
        <v>0</v>
      </c>
      <c r="V97" s="9">
        <f>'System Parameters'!L49</f>
        <v>0</v>
      </c>
    </row>
    <row r="98" spans="1:22" ht="13" x14ac:dyDescent="0.15">
      <c r="A98" s="9" t="s">
        <v>46</v>
      </c>
      <c r="B98" s="9">
        <f>'System Parameters'!K37</f>
        <v>0</v>
      </c>
      <c r="C98" s="9">
        <f>'System Parameters'!L37</f>
        <v>0</v>
      </c>
      <c r="D98" s="23">
        <f t="shared" ref="D98:O98" si="41">D96/$B96-1</f>
        <v>2.9238328375402967E-2</v>
      </c>
      <c r="E98" s="23">
        <f t="shared" si="41"/>
        <v>3.0801086186762472E-2</v>
      </c>
      <c r="F98" s="23">
        <f t="shared" si="41"/>
        <v>7.4216571239937856E-4</v>
      </c>
      <c r="G98" s="23">
        <f t="shared" si="41"/>
        <v>0</v>
      </c>
      <c r="H98" s="23">
        <f t="shared" si="41"/>
        <v>6.0420056712466863E-3</v>
      </c>
      <c r="I98" s="23">
        <f t="shared" si="41"/>
        <v>0</v>
      </c>
      <c r="J98" s="23">
        <f t="shared" si="41"/>
        <v>0</v>
      </c>
      <c r="K98" s="23">
        <f t="shared" si="41"/>
        <v>0</v>
      </c>
      <c r="L98" s="23">
        <f t="shared" si="41"/>
        <v>0</v>
      </c>
      <c r="M98" s="23">
        <f t="shared" si="41"/>
        <v>3.4553120103252954E-2</v>
      </c>
      <c r="N98" s="23">
        <f t="shared" si="41"/>
        <v>1.0201920602641579E-3</v>
      </c>
      <c r="O98" s="23">
        <f t="shared" si="41"/>
        <v>5.4627271299523272E-4</v>
      </c>
      <c r="P98" s="9">
        <f>'System Parameters'!O37</f>
        <v>0</v>
      </c>
      <c r="Q98" s="9">
        <f>'System Parameters'!P37</f>
        <v>0</v>
      </c>
      <c r="R98" s="9">
        <f>'System Parameters'!Q37</f>
        <v>0</v>
      </c>
      <c r="S98" s="9">
        <f>'System Parameters'!I50</f>
        <v>0</v>
      </c>
      <c r="T98" s="9">
        <f>'System Parameters'!J50</f>
        <v>0</v>
      </c>
      <c r="U98" s="9">
        <f>'System Parameters'!K50</f>
        <v>0</v>
      </c>
      <c r="V98" s="9">
        <f>'System Parameters'!L50</f>
        <v>0</v>
      </c>
    </row>
    <row r="99" spans="1:22" ht="13" x14ac:dyDescent="0.15">
      <c r="A99" s="9" t="s">
        <v>47</v>
      </c>
      <c r="B99" s="9">
        <f>'System Parameters'!K38</f>
        <v>0</v>
      </c>
      <c r="C99" s="9">
        <f>'System Parameters'!L38</f>
        <v>0</v>
      </c>
      <c r="D99" s="9" t="s">
        <v>48</v>
      </c>
      <c r="E99" s="9" t="s">
        <v>49</v>
      </c>
      <c r="F99" s="9" t="s">
        <v>50</v>
      </c>
      <c r="G99" s="9" t="s">
        <v>51</v>
      </c>
      <c r="H99" s="9" t="s">
        <v>52</v>
      </c>
      <c r="I99" s="9" t="s">
        <v>53</v>
      </c>
      <c r="J99" s="9" t="s">
        <v>54</v>
      </c>
      <c r="K99" s="9" t="s">
        <v>55</v>
      </c>
      <c r="L99" s="9" t="s">
        <v>56</v>
      </c>
      <c r="M99" s="9" t="s">
        <v>57</v>
      </c>
      <c r="N99" s="9" t="s">
        <v>58</v>
      </c>
      <c r="O99" s="9" t="s">
        <v>59</v>
      </c>
      <c r="P99" s="9">
        <f>'System Parameters'!O38</f>
        <v>0</v>
      </c>
      <c r="Q99" s="9">
        <f>'System Parameters'!P38</f>
        <v>0</v>
      </c>
      <c r="R99" s="9">
        <f>'System Parameters'!Q38</f>
        <v>0</v>
      </c>
      <c r="S99" s="9">
        <f>'System Parameters'!I51</f>
        <v>0</v>
      </c>
      <c r="T99" s="9">
        <f>'System Parameters'!J51</f>
        <v>0</v>
      </c>
      <c r="U99" s="9">
        <f>'System Parameters'!K51</f>
        <v>0</v>
      </c>
      <c r="V99" s="9">
        <f>'System Parameters'!L51</f>
        <v>0</v>
      </c>
    </row>
    <row r="100" spans="1:22" ht="13" x14ac:dyDescent="0.15">
      <c r="A100" s="9">
        <f>'System Parameters'!A52</f>
        <v>0</v>
      </c>
      <c r="B100" s="9">
        <f>'System Parameters'!B52</f>
        <v>0</v>
      </c>
      <c r="C100" s="9">
        <f>'System Parameters'!C52</f>
        <v>0</v>
      </c>
      <c r="D100" s="9">
        <f>'System Parameters'!D52</f>
        <v>0</v>
      </c>
      <c r="O100" s="9">
        <f>'System Parameters'!E52</f>
        <v>0</v>
      </c>
      <c r="P100" s="9">
        <f>'System Parameters'!F52</f>
        <v>0</v>
      </c>
      <c r="Q100" s="9">
        <f>'System Parameters'!G52</f>
        <v>0</v>
      </c>
      <c r="R100" s="9">
        <f>'System Parameters'!H52</f>
        <v>0</v>
      </c>
      <c r="S100" s="9">
        <f>'System Parameters'!I52</f>
        <v>0</v>
      </c>
      <c r="T100" s="9">
        <f>'System Parameters'!J52</f>
        <v>0</v>
      </c>
      <c r="U100" s="9">
        <f>'System Parameters'!K52</f>
        <v>0</v>
      </c>
      <c r="V100" s="9">
        <f>'System Parameters'!L52</f>
        <v>0</v>
      </c>
    </row>
    <row r="101" spans="1:22" ht="13" x14ac:dyDescent="0.15">
      <c r="A101" s="9">
        <f>'System Parameters'!A53</f>
        <v>0</v>
      </c>
      <c r="B101" s="9">
        <f>'System Parameters'!B53</f>
        <v>0</v>
      </c>
      <c r="C101" s="9">
        <f>'System Parameters'!C53</f>
        <v>0</v>
      </c>
      <c r="D101" s="9">
        <f>'System Parameters'!D53</f>
        <v>0</v>
      </c>
      <c r="O101" s="9">
        <f>'System Parameters'!E53</f>
        <v>0</v>
      </c>
      <c r="P101" s="9">
        <f>'System Parameters'!F53</f>
        <v>0</v>
      </c>
      <c r="Q101" s="9">
        <f>'System Parameters'!G53</f>
        <v>0</v>
      </c>
      <c r="R101" s="9">
        <f>'System Parameters'!H53</f>
        <v>0</v>
      </c>
      <c r="S101" s="9">
        <f>'System Parameters'!I53</f>
        <v>0</v>
      </c>
      <c r="T101" s="9">
        <f>'System Parameters'!J53</f>
        <v>0</v>
      </c>
      <c r="U101" s="9">
        <f>'System Parameters'!K53</f>
        <v>0</v>
      </c>
      <c r="V101" s="9">
        <f>'System Parameters'!L53</f>
        <v>0</v>
      </c>
    </row>
    <row r="102" spans="1:22" ht="13" x14ac:dyDescent="0.15">
      <c r="A102" s="9">
        <f>'System Parameters'!A54</f>
        <v>0</v>
      </c>
      <c r="B102" s="9">
        <f>'System Parameters'!B54</f>
        <v>0</v>
      </c>
      <c r="C102" s="9">
        <f>'System Parameters'!C54</f>
        <v>0</v>
      </c>
      <c r="D102" s="9">
        <f>'System Parameters'!D54</f>
        <v>0</v>
      </c>
      <c r="O102" s="9">
        <f>'System Parameters'!E54</f>
        <v>0</v>
      </c>
      <c r="P102" s="9">
        <f>'System Parameters'!F54</f>
        <v>0</v>
      </c>
      <c r="Q102" s="9">
        <f>'System Parameters'!G54</f>
        <v>0</v>
      </c>
      <c r="R102" s="9">
        <f>'System Parameters'!H54</f>
        <v>0</v>
      </c>
      <c r="S102" s="9">
        <f>'System Parameters'!I54</f>
        <v>0</v>
      </c>
      <c r="T102" s="9">
        <f>'System Parameters'!J54</f>
        <v>0</v>
      </c>
      <c r="U102" s="9">
        <f>'System Parameters'!K54</f>
        <v>0</v>
      </c>
      <c r="V102" s="9">
        <f>'System Parameters'!L54</f>
        <v>0</v>
      </c>
    </row>
    <row r="103" spans="1:22" ht="13" x14ac:dyDescent="0.15">
      <c r="A103" s="9">
        <f>'System Parameters'!A55</f>
        <v>0</v>
      </c>
      <c r="B103" s="9">
        <f>'System Parameters'!B55</f>
        <v>0</v>
      </c>
      <c r="C103" s="9">
        <f>'System Parameters'!C55</f>
        <v>0</v>
      </c>
      <c r="D103" s="9">
        <f>'System Parameters'!D55</f>
        <v>0</v>
      </c>
      <c r="O103" s="9">
        <f>'System Parameters'!E55</f>
        <v>0</v>
      </c>
      <c r="P103" s="9">
        <f>'System Parameters'!F55</f>
        <v>0</v>
      </c>
      <c r="Q103" s="9">
        <f>'System Parameters'!G55</f>
        <v>0</v>
      </c>
      <c r="R103" s="9">
        <f>'System Parameters'!H55</f>
        <v>0</v>
      </c>
      <c r="S103" s="9">
        <f>'System Parameters'!I55</f>
        <v>0</v>
      </c>
      <c r="T103" s="9">
        <f>'System Parameters'!J55</f>
        <v>0</v>
      </c>
      <c r="U103" s="9">
        <f>'System Parameters'!K55</f>
        <v>0</v>
      </c>
      <c r="V103" s="9">
        <f>'System Parameters'!L55</f>
        <v>0</v>
      </c>
    </row>
    <row r="104" spans="1:22" ht="13" x14ac:dyDescent="0.15">
      <c r="A104" s="9">
        <f>'System Parameters'!A56</f>
        <v>0</v>
      </c>
      <c r="B104" s="9">
        <f>'System Parameters'!B56</f>
        <v>0</v>
      </c>
      <c r="C104" s="9">
        <f>'System Parameters'!C56</f>
        <v>0</v>
      </c>
      <c r="D104" s="9">
        <f>'System Parameters'!D56</f>
        <v>0</v>
      </c>
      <c r="O104" s="9">
        <f>'System Parameters'!E56</f>
        <v>0</v>
      </c>
      <c r="P104" s="9">
        <f>'System Parameters'!F56</f>
        <v>0</v>
      </c>
      <c r="Q104" s="9">
        <f>'System Parameters'!G56</f>
        <v>0</v>
      </c>
      <c r="R104" s="9">
        <f>'System Parameters'!H56</f>
        <v>0</v>
      </c>
      <c r="S104" s="9">
        <f>'System Parameters'!I56</f>
        <v>0</v>
      </c>
      <c r="T104" s="9">
        <f>'System Parameters'!J56</f>
        <v>0</v>
      </c>
      <c r="U104" s="9">
        <f>'System Parameters'!K56</f>
        <v>0</v>
      </c>
      <c r="V104" s="9">
        <f>'System Parameters'!L56</f>
        <v>0</v>
      </c>
    </row>
    <row r="105" spans="1:22" ht="13" x14ac:dyDescent="0.15">
      <c r="A105" s="9">
        <f>'System Parameters'!A57</f>
        <v>0</v>
      </c>
      <c r="B105" s="9">
        <f>'System Parameters'!B57</f>
        <v>0</v>
      </c>
      <c r="C105" s="9">
        <f>'System Parameters'!C57</f>
        <v>0</v>
      </c>
      <c r="D105" s="9">
        <f>'System Parameters'!D57</f>
        <v>0</v>
      </c>
      <c r="O105" s="9">
        <f>'System Parameters'!E57</f>
        <v>0</v>
      </c>
      <c r="P105" s="9">
        <f>'System Parameters'!F57</f>
        <v>0</v>
      </c>
      <c r="Q105" s="9">
        <f>'System Parameters'!G57</f>
        <v>0</v>
      </c>
      <c r="R105" s="9">
        <f>'System Parameters'!H57</f>
        <v>0</v>
      </c>
      <c r="S105" s="9">
        <f>'System Parameters'!I57</f>
        <v>0</v>
      </c>
      <c r="T105" s="9">
        <f>'System Parameters'!J57</f>
        <v>0</v>
      </c>
      <c r="U105" s="9">
        <f>'System Parameters'!K57</f>
        <v>0</v>
      </c>
      <c r="V105" s="9">
        <f>'System Parameters'!L57</f>
        <v>0</v>
      </c>
    </row>
    <row r="106" spans="1:22" ht="13" x14ac:dyDescent="0.15">
      <c r="A106" s="9">
        <f>'System Parameters'!A58</f>
        <v>0</v>
      </c>
      <c r="B106" s="9">
        <f>'System Parameters'!B58</f>
        <v>0</v>
      </c>
      <c r="C106" s="9">
        <f>'System Parameters'!C58</f>
        <v>0</v>
      </c>
      <c r="D106" s="9">
        <f>'System Parameters'!D58</f>
        <v>0</v>
      </c>
      <c r="O106" s="9">
        <f>'System Parameters'!E58</f>
        <v>0</v>
      </c>
      <c r="P106" s="9">
        <f>'System Parameters'!F58</f>
        <v>0</v>
      </c>
      <c r="Q106" s="9">
        <f>'System Parameters'!G58</f>
        <v>0</v>
      </c>
      <c r="R106" s="9">
        <f>'System Parameters'!H58</f>
        <v>0</v>
      </c>
      <c r="S106" s="9">
        <f>'System Parameters'!I58</f>
        <v>0</v>
      </c>
      <c r="T106" s="9">
        <f>'System Parameters'!J58</f>
        <v>0</v>
      </c>
      <c r="U106" s="9">
        <f>'System Parameters'!K58</f>
        <v>0</v>
      </c>
      <c r="V106" s="9">
        <f>'System Parameters'!L58</f>
        <v>0</v>
      </c>
    </row>
    <row r="107" spans="1:22" ht="13" x14ac:dyDescent="0.15">
      <c r="A107" s="9">
        <f>'System Parameters'!A59</f>
        <v>0</v>
      </c>
      <c r="B107" s="9">
        <f>'System Parameters'!B59</f>
        <v>0</v>
      </c>
      <c r="C107" s="9">
        <f>'System Parameters'!C59</f>
        <v>0</v>
      </c>
      <c r="D107" s="9">
        <f>'System Parameters'!D59</f>
        <v>0</v>
      </c>
      <c r="O107" s="9">
        <f>'System Parameters'!E59</f>
        <v>0</v>
      </c>
      <c r="P107" s="9">
        <f>'System Parameters'!F59</f>
        <v>0</v>
      </c>
      <c r="Q107" s="9">
        <f>'System Parameters'!G59</f>
        <v>0</v>
      </c>
      <c r="R107" s="9">
        <f>'System Parameters'!H59</f>
        <v>0</v>
      </c>
      <c r="S107" s="9">
        <f>'System Parameters'!I59</f>
        <v>0</v>
      </c>
      <c r="T107" s="9">
        <f>'System Parameters'!J59</f>
        <v>0</v>
      </c>
      <c r="U107" s="9">
        <f>'System Parameters'!K59</f>
        <v>0</v>
      </c>
      <c r="V107" s="9">
        <f>'System Parameters'!L59</f>
        <v>0</v>
      </c>
    </row>
    <row r="108" spans="1:22" ht="13" x14ac:dyDescent="0.15">
      <c r="A108" s="9">
        <f>'System Parameters'!A60</f>
        <v>0</v>
      </c>
      <c r="B108" s="9">
        <f>'System Parameters'!B60</f>
        <v>0</v>
      </c>
      <c r="C108" s="9">
        <f>'System Parameters'!C60</f>
        <v>0</v>
      </c>
      <c r="D108" s="9">
        <f>'System Parameters'!D60</f>
        <v>0</v>
      </c>
      <c r="O108" s="9">
        <f>'System Parameters'!E60</f>
        <v>0</v>
      </c>
      <c r="P108" s="9">
        <f>'System Parameters'!F60</f>
        <v>0</v>
      </c>
      <c r="Q108" s="9">
        <f>'System Parameters'!G60</f>
        <v>0</v>
      </c>
      <c r="R108" s="9">
        <f>'System Parameters'!H60</f>
        <v>0</v>
      </c>
      <c r="S108" s="9">
        <f>'System Parameters'!I60</f>
        <v>0</v>
      </c>
      <c r="T108" s="9">
        <f>'System Parameters'!J60</f>
        <v>0</v>
      </c>
      <c r="U108" s="9">
        <f>'System Parameters'!K60</f>
        <v>0</v>
      </c>
      <c r="V108" s="9">
        <f>'System Parameters'!L60</f>
        <v>0</v>
      </c>
    </row>
    <row r="109" spans="1:22" ht="13" x14ac:dyDescent="0.15">
      <c r="A109" s="9">
        <f>'System Parameters'!A61</f>
        <v>0</v>
      </c>
      <c r="B109" s="9">
        <f>'System Parameters'!B61</f>
        <v>0</v>
      </c>
      <c r="C109" s="9">
        <f>'System Parameters'!C61</f>
        <v>0</v>
      </c>
      <c r="D109" s="9">
        <f>'System Parameters'!D61</f>
        <v>0</v>
      </c>
      <c r="O109" s="9">
        <f>'System Parameters'!E61</f>
        <v>0</v>
      </c>
      <c r="P109" s="9">
        <f>'System Parameters'!F61</f>
        <v>0</v>
      </c>
      <c r="Q109" s="9">
        <f>'System Parameters'!G61</f>
        <v>0</v>
      </c>
      <c r="R109" s="9">
        <f>'System Parameters'!H61</f>
        <v>0</v>
      </c>
      <c r="S109" s="9">
        <f>'System Parameters'!I61</f>
        <v>0</v>
      </c>
      <c r="T109" s="9">
        <f>'System Parameters'!J61</f>
        <v>0</v>
      </c>
      <c r="U109" s="9">
        <f>'System Parameters'!K61</f>
        <v>0</v>
      </c>
      <c r="V109" s="9">
        <f>'System Parameters'!L61</f>
        <v>0</v>
      </c>
    </row>
    <row r="110" spans="1:22" ht="13" x14ac:dyDescent="0.15">
      <c r="A110" s="9">
        <f>'System Parameters'!A62</f>
        <v>0</v>
      </c>
      <c r="B110" s="9">
        <f>'System Parameters'!B62</f>
        <v>0</v>
      </c>
      <c r="C110" s="9">
        <f>'System Parameters'!C62</f>
        <v>0</v>
      </c>
      <c r="D110" s="9">
        <f>'System Parameters'!D62</f>
        <v>0</v>
      </c>
      <c r="O110" s="9">
        <f>'System Parameters'!E62</f>
        <v>0</v>
      </c>
      <c r="P110" s="9">
        <f>'System Parameters'!F62</f>
        <v>0</v>
      </c>
      <c r="Q110" s="9">
        <f>'System Parameters'!G62</f>
        <v>0</v>
      </c>
      <c r="R110" s="9">
        <f>'System Parameters'!H62</f>
        <v>0</v>
      </c>
      <c r="S110" s="9">
        <f>'System Parameters'!I62</f>
        <v>0</v>
      </c>
      <c r="T110" s="9">
        <f>'System Parameters'!J62</f>
        <v>0</v>
      </c>
      <c r="U110" s="9">
        <f>'System Parameters'!K62</f>
        <v>0</v>
      </c>
      <c r="V110" s="9">
        <f>'System Parameters'!L62</f>
        <v>0</v>
      </c>
    </row>
    <row r="111" spans="1:22" ht="13" x14ac:dyDescent="0.15">
      <c r="A111" s="9">
        <f>'System Parameters'!A63</f>
        <v>0</v>
      </c>
      <c r="B111" s="9">
        <f>'System Parameters'!B63</f>
        <v>0</v>
      </c>
      <c r="C111" s="9">
        <f>'System Parameters'!C63</f>
        <v>0</v>
      </c>
      <c r="D111" s="9">
        <f>'System Parameters'!D63</f>
        <v>0</v>
      </c>
      <c r="O111" s="9">
        <f>'System Parameters'!E63</f>
        <v>0</v>
      </c>
      <c r="P111" s="9">
        <f>'System Parameters'!F63</f>
        <v>0</v>
      </c>
      <c r="Q111" s="9">
        <f>'System Parameters'!G63</f>
        <v>0</v>
      </c>
      <c r="R111" s="9">
        <f>'System Parameters'!H63</f>
        <v>0</v>
      </c>
      <c r="S111" s="9">
        <f>'System Parameters'!I63</f>
        <v>0</v>
      </c>
      <c r="T111" s="9">
        <f>'System Parameters'!J63</f>
        <v>0</v>
      </c>
      <c r="U111" s="9">
        <f>'System Parameters'!K63</f>
        <v>0</v>
      </c>
      <c r="V111" s="9">
        <f>'System Parameters'!L63</f>
        <v>0</v>
      </c>
    </row>
    <row r="112" spans="1:22" ht="13" x14ac:dyDescent="0.15">
      <c r="A112" s="9">
        <f>'System Parameters'!A64</f>
        <v>0</v>
      </c>
      <c r="B112" s="9">
        <f>'System Parameters'!B64</f>
        <v>0</v>
      </c>
      <c r="C112" s="9">
        <f>'System Parameters'!C64</f>
        <v>0</v>
      </c>
      <c r="D112" s="9">
        <f>'System Parameters'!D64</f>
        <v>0</v>
      </c>
      <c r="O112" s="9">
        <f>'System Parameters'!E64</f>
        <v>0</v>
      </c>
      <c r="P112" s="9">
        <f>'System Parameters'!F64</f>
        <v>0</v>
      </c>
      <c r="Q112" s="9">
        <f>'System Parameters'!G64</f>
        <v>0</v>
      </c>
      <c r="R112" s="9">
        <f>'System Parameters'!H64</f>
        <v>0</v>
      </c>
      <c r="S112" s="9">
        <f>'System Parameters'!I64</f>
        <v>0</v>
      </c>
      <c r="T112" s="9">
        <f>'System Parameters'!J64</f>
        <v>0</v>
      </c>
      <c r="U112" s="9">
        <f>'System Parameters'!K64</f>
        <v>0</v>
      </c>
      <c r="V112" s="9">
        <f>'System Parameters'!L64</f>
        <v>0</v>
      </c>
    </row>
    <row r="113" spans="1:22" ht="13" x14ac:dyDescent="0.15">
      <c r="A113" s="9">
        <f>'System Parameters'!A65</f>
        <v>0</v>
      </c>
      <c r="B113" s="9">
        <f>'System Parameters'!B65</f>
        <v>0</v>
      </c>
      <c r="C113" s="9">
        <f>'System Parameters'!C65</f>
        <v>0</v>
      </c>
      <c r="D113" s="9">
        <f>'System Parameters'!D65</f>
        <v>0</v>
      </c>
      <c r="O113" s="9">
        <f>'System Parameters'!E65</f>
        <v>0</v>
      </c>
      <c r="P113" s="9">
        <f>'System Parameters'!F65</f>
        <v>0</v>
      </c>
      <c r="Q113" s="9">
        <f>'System Parameters'!G65</f>
        <v>0</v>
      </c>
      <c r="R113" s="9">
        <f>'System Parameters'!H65</f>
        <v>0</v>
      </c>
      <c r="S113" s="9">
        <f>'System Parameters'!I65</f>
        <v>0</v>
      </c>
      <c r="T113" s="9">
        <f>'System Parameters'!J65</f>
        <v>0</v>
      </c>
      <c r="U113" s="9">
        <f>'System Parameters'!K65</f>
        <v>0</v>
      </c>
      <c r="V113" s="9">
        <f>'System Parameters'!L65</f>
        <v>0</v>
      </c>
    </row>
    <row r="114" spans="1:22" ht="13" x14ac:dyDescent="0.15">
      <c r="A114" s="9">
        <f>'System Parameters'!A66</f>
        <v>0</v>
      </c>
      <c r="B114" s="9">
        <f>'System Parameters'!B66</f>
        <v>0</v>
      </c>
      <c r="C114" s="9">
        <f>'System Parameters'!C66</f>
        <v>0</v>
      </c>
      <c r="D114" s="9">
        <f>'System Parameters'!D66</f>
        <v>0</v>
      </c>
      <c r="O114" s="9">
        <f>'System Parameters'!E66</f>
        <v>0</v>
      </c>
      <c r="P114" s="9">
        <f>'System Parameters'!F66</f>
        <v>0</v>
      </c>
      <c r="Q114" s="9">
        <f>'System Parameters'!G66</f>
        <v>0</v>
      </c>
      <c r="R114" s="9">
        <f>'System Parameters'!H66</f>
        <v>0</v>
      </c>
      <c r="S114" s="9">
        <f>'System Parameters'!I66</f>
        <v>0</v>
      </c>
      <c r="T114" s="9">
        <f>'System Parameters'!J66</f>
        <v>0</v>
      </c>
      <c r="U114" s="9">
        <f>'System Parameters'!K66</f>
        <v>0</v>
      </c>
      <c r="V114" s="9">
        <f>'System Parameters'!L66</f>
        <v>0</v>
      </c>
    </row>
    <row r="115" spans="1:22" ht="13" x14ac:dyDescent="0.15">
      <c r="A115" s="9">
        <f>'System Parameters'!A67</f>
        <v>0</v>
      </c>
      <c r="B115" s="9">
        <f>'System Parameters'!B67</f>
        <v>0</v>
      </c>
      <c r="C115" s="9">
        <f>'System Parameters'!C67</f>
        <v>0</v>
      </c>
      <c r="D115" s="9">
        <f>'System Parameters'!D67</f>
        <v>0</v>
      </c>
      <c r="O115" s="9">
        <f>'System Parameters'!E67</f>
        <v>0</v>
      </c>
      <c r="P115" s="9">
        <f>'System Parameters'!F67</f>
        <v>0</v>
      </c>
      <c r="Q115" s="9">
        <f>'System Parameters'!G67</f>
        <v>0</v>
      </c>
      <c r="R115" s="9">
        <f>'System Parameters'!H67</f>
        <v>0</v>
      </c>
      <c r="S115" s="9">
        <f>'System Parameters'!I67</f>
        <v>0</v>
      </c>
      <c r="T115" s="9">
        <f>'System Parameters'!J67</f>
        <v>0</v>
      </c>
      <c r="U115" s="9">
        <f>'System Parameters'!K67</f>
        <v>0</v>
      </c>
      <c r="V115" s="9">
        <f>'System Parameters'!L67</f>
        <v>0</v>
      </c>
    </row>
    <row r="116" spans="1:22" ht="13" x14ac:dyDescent="0.15">
      <c r="A116" s="9">
        <f>'System Parameters'!A68</f>
        <v>0</v>
      </c>
      <c r="B116" s="9">
        <f>'System Parameters'!B68</f>
        <v>0</v>
      </c>
      <c r="C116" s="9">
        <f>'System Parameters'!C68</f>
        <v>0</v>
      </c>
      <c r="D116" s="9">
        <f>'System Parameters'!D68</f>
        <v>0</v>
      </c>
      <c r="O116" s="9">
        <f>'System Parameters'!E68</f>
        <v>0</v>
      </c>
      <c r="P116" s="9">
        <f>'System Parameters'!F68</f>
        <v>0</v>
      </c>
      <c r="Q116" s="9">
        <f>'System Parameters'!G68</f>
        <v>0</v>
      </c>
      <c r="R116" s="9">
        <f>'System Parameters'!H68</f>
        <v>0</v>
      </c>
      <c r="S116" s="9">
        <f>'System Parameters'!I68</f>
        <v>0</v>
      </c>
      <c r="T116" s="9">
        <f>'System Parameters'!J68</f>
        <v>0</v>
      </c>
      <c r="U116" s="9">
        <f>'System Parameters'!K68</f>
        <v>0</v>
      </c>
      <c r="V116" s="9">
        <f>'System Parameters'!L68</f>
        <v>0</v>
      </c>
    </row>
    <row r="117" spans="1:22" ht="13" x14ac:dyDescent="0.15">
      <c r="A117" s="9">
        <f>'System Parameters'!A69</f>
        <v>0</v>
      </c>
      <c r="B117" s="9">
        <f>'System Parameters'!B69</f>
        <v>0</v>
      </c>
      <c r="C117" s="9">
        <f>'System Parameters'!C69</f>
        <v>0</v>
      </c>
      <c r="D117" s="9">
        <f>'System Parameters'!D69</f>
        <v>0</v>
      </c>
      <c r="O117" s="9">
        <f>'System Parameters'!E69</f>
        <v>0</v>
      </c>
      <c r="P117" s="9">
        <f>'System Parameters'!F69</f>
        <v>0</v>
      </c>
      <c r="Q117" s="9">
        <f>'System Parameters'!G69</f>
        <v>0</v>
      </c>
      <c r="R117" s="9">
        <f>'System Parameters'!H69</f>
        <v>0</v>
      </c>
      <c r="S117" s="9">
        <f>'System Parameters'!I69</f>
        <v>0</v>
      </c>
      <c r="T117" s="9">
        <f>'System Parameters'!J69</f>
        <v>0</v>
      </c>
      <c r="U117" s="9">
        <f>'System Parameters'!K69</f>
        <v>0</v>
      </c>
      <c r="V117" s="9">
        <f>'System Parameters'!L69</f>
        <v>0</v>
      </c>
    </row>
    <row r="118" spans="1:22" ht="13" x14ac:dyDescent="0.15">
      <c r="A118" s="9">
        <f>'System Parameters'!A70</f>
        <v>0</v>
      </c>
      <c r="B118" s="9">
        <f>'System Parameters'!B70</f>
        <v>0</v>
      </c>
      <c r="C118" s="9">
        <f>'System Parameters'!C70</f>
        <v>0</v>
      </c>
      <c r="D118" s="9">
        <f>'System Parameters'!D70</f>
        <v>0</v>
      </c>
      <c r="O118" s="9">
        <f>'System Parameters'!E70</f>
        <v>0</v>
      </c>
      <c r="P118" s="9">
        <f>'System Parameters'!F70</f>
        <v>0</v>
      </c>
      <c r="Q118" s="9">
        <f>'System Parameters'!G70</f>
        <v>0</v>
      </c>
      <c r="R118" s="9">
        <f>'System Parameters'!H70</f>
        <v>0</v>
      </c>
      <c r="S118" s="9">
        <f>'System Parameters'!I70</f>
        <v>0</v>
      </c>
      <c r="T118" s="9">
        <f>'System Parameters'!J70</f>
        <v>0</v>
      </c>
      <c r="U118" s="9">
        <f>'System Parameters'!K70</f>
        <v>0</v>
      </c>
      <c r="V118" s="9">
        <f>'System Parameters'!L70</f>
        <v>0</v>
      </c>
    </row>
  </sheetData>
  <phoneticPr fontId="6" type="noConversion"/>
  <pageMargins left="0" right="0" top="0" bottom="0" header="0" footer="0"/>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System Parameters</vt:lpstr>
      <vt:lpstr>Sensitivity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奕彤 姚</cp:lastModifiedBy>
  <cp:revision/>
  <cp:lastPrinted>2026-03-08T01:40:26Z</cp:lastPrinted>
  <dcterms:created xsi:type="dcterms:W3CDTF">2026-02-05T01:38:58Z</dcterms:created>
  <dcterms:modified xsi:type="dcterms:W3CDTF">2026-03-08T21:39:34Z</dcterms:modified>
  <cp:category/>
  <cp:contentStatus/>
</cp:coreProperties>
</file>